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545" documentId="11_66174F24F608B6D7431E05A6C92D535463DFB474" xr6:coauthVersionLast="47" xr6:coauthVersionMax="47" xr10:uidLastSave="{1F14E3C8-6E65-4438-B108-FC861F0DA3EA}"/>
  <bookViews>
    <workbookView xWindow="13710" yWindow="2805" windowWidth="14205" windowHeight="12240" firstSheet="1" activeTab="1" xr2:uid="{00000000-000D-0000-FFFF-FFFF00000000}"/>
  </bookViews>
  <sheets>
    <sheet name="Lists" sheetId="3" state="hidden" r:id="rId1"/>
    <sheet name="Activity Info" sheetId="1" r:id="rId2"/>
    <sheet name="Q1" sheetId="4" r:id="rId3"/>
    <sheet name="Q2" sheetId="5"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<sst xmlns="http://schemas.openxmlformats.org/spreadsheetml/2006/main" count="372" uniqueCount="242">
  <si>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</si>
  <si>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</si>
  <si>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</si>
  <si>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</si>
  <si>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</si>
  <si>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</si>
  <si>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</si>
  <si>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</si>
  <si>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</si>
  <si>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</si>
  <si>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</si>
  <si>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</si>
  <si>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</si>
  <si>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</si>
  <si>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</si>
  <si>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</si>
  <si>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</si>
  <si>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</si>
  <si>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</si>
  <si>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</si>
  <si>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</si>
  <si>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</si>
  <si>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</si>
  <si>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</si>
  <si>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</si>
  <si>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</si>
  <si>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</si>
  <si>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</si>
  <si>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</si>
  <si>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</si>
  <si>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</si>
  <si>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</si>
  <si>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</si>
  <si>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</si>
  <si>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</si>
  <si>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</si>
  <si>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</si>
  <si>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</si>
  <si>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</si>
  <si>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</si>
  <si>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</si>
  <si>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</si>
  <si>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</si>
  <si>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</si>
  <si>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</si>
  <si>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</si>
  <si>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</si>
  <si>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</si>
  <si>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</si>
  <si>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</si>
  <si>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</si>
  <si>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</si>
  <si>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</si>
  <si>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</si>
  <si>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</si>
  <si>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</si>
  <si>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</si>
  <si>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</si>
  <si>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</si>
  <si>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</si>
  <si>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</si>
  <si>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</si>
  <si>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</si>
  <si>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</si>
  <si>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</si>
  <si>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</si>
  <si>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</si>
  <si>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</si>
  <si>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</si>
  <si>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</si>
  <si>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</si>
  <si>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</si>
  <si>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</si>
  <si>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</si>
  <si>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</si>
  <si>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</si>
  <si>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</si>
  <si>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</si>
  <si>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</si>
  <si>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</si>
  <si>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</si>
  <si>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</si>
  <si>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</si>
  <si>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</si>
  <si>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</si>
  <si>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</si>
  <si>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</si>
  <si>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</si>
  <si>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</si>
  <si>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</si>
  <si>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</si>
  <si>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</si>
  <si>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</si>
  <si>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</si>
  <si>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</si>
  <si>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</si>
  <si>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</si>
  <si>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</si>
  <si>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</si>
  <si>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</si>
  <si>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</si>
  <si>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</si>
  <si>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</si>
  <si>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</si>
  <si>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</si>
  <si>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</si>
  <si>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</si>
  <si>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</si>
  <si>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</si>
  <si>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</si>
  <si>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</si>
  <si>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</si>
  <si>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</si>
  <si>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</si>
  <si>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</si>
  <si>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</si>
  <si>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</si>
  <si>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</si>
  <si>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</si>
  <si>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</si>
  <si>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</si>
  <si>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</si>
  <si>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</si>
  <si>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</si>
  <si>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</si>
  <si>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</si>
  <si>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</si>
  <si>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</si>
  <si>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Activity topic</t>
  </si>
  <si>
    <t>Activity ID</t>
  </si>
  <si>
    <t>Activity version</t>
  </si>
  <si>
    <t>1.0</t>
  </si>
  <si>
    <t>Publication date</t>
  </si>
  <si>
    <t>CEMBench ASM version</t>
  </si>
  <si>
    <t>at least 1.0.0</t>
  </si>
  <si>
    <t>Reference activity</t>
  </si>
  <si>
    <t>Reference video</t>
  </si>
  <si>
    <t>Contributor</t>
  </si>
  <si>
    <t>name</t>
  </si>
  <si>
    <t>email</t>
  </si>
  <si>
    <t>institution</t>
  </si>
  <si>
    <t>Yıldız Technical University</t>
  </si>
  <si>
    <t>department</t>
  </si>
  <si>
    <t>Department of Environmental Engineering</t>
  </si>
  <si>
    <t>Purpose and Scope</t>
  </si>
  <si>
    <t>Target students</t>
  </si>
  <si>
    <t>Undergraduate, beginner level</t>
  </si>
  <si>
    <t>Timing</t>
  </si>
  <si>
    <t>Mode of use</t>
  </si>
  <si>
    <t>In-class activity or homework</t>
  </si>
  <si>
    <t>Guidance level</t>
  </si>
  <si>
    <t>Guided</t>
  </si>
  <si>
    <t>ETC</t>
  </si>
  <si>
    <t>Highest Bloom</t>
  </si>
  <si>
    <t>Level</t>
  </si>
  <si>
    <t>Justification</t>
  </si>
  <si>
    <t>Prerequisites</t>
  </si>
  <si>
    <t>Activity Learning Outcomes (ALOs)</t>
  </si>
  <si>
    <t>Program Outcomes (POs) and Bloom Mapping</t>
  </si>
  <si>
    <t>Question ID</t>
  </si>
  <si>
    <t>ALOs</t>
  </si>
  <si>
    <t>ABET POs</t>
  </si>
  <si>
    <t>EUR-ACE POs</t>
  </si>
  <si>
    <t>MÜDEK POs</t>
  </si>
  <si>
    <t>Bloom level</t>
  </si>
  <si>
    <t>Recommended Implementation (In-Class)</t>
  </si>
  <si>
    <t>Preparation</t>
  </si>
  <si>
    <t>Opening</t>
  </si>
  <si>
    <t>Guidance</t>
  </si>
  <si>
    <t>Discussion</t>
  </si>
  <si>
    <t>Recommended Implementation (Homework)</t>
  </si>
  <si>
    <t>Assignment Release</t>
  </si>
  <si>
    <t>Support and Resources</t>
  </si>
  <si>
    <t>Submission</t>
  </si>
  <si>
    <t>Evaluation &amp; Feedback</t>
  </si>
  <si>
    <t>ALO</t>
  </si>
  <si>
    <t>Question</t>
  </si>
  <si>
    <t>Model template</t>
  </si>
  <si>
    <t>Topology figure</t>
  </si>
  <si>
    <t>Instructions</t>
  </si>
  <si>
    <t>Topology and CEMBench ASM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</si>
  <si>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</si>
  <si>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</si>
  <si>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</si>
  <si>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</si>
  <si>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</si>
  <si>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</si>
  <si>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</si>
  <si>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</si>
  <si>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</si>
  <si>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</si>
  <si>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</si>
  <si>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t>5 m</t>
  </si>
  <si>
    <t>Aeration</t>
  </si>
  <si>
    <t>Constant DO @ 2 mg/L</t>
  </si>
  <si>
    <t>Reactor</t>
  </si>
  <si>
    <t>Simulat'n settings</t>
  </si>
  <si>
    <t>Insert CEMBench ASM topology screenshot here</t>
  </si>
  <si>
    <t>Requir'd submiss'n</t>
  </si>
  <si>
    <t>Introductory S-X Model.cbt</t>
  </si>
  <si>
    <t>Inlet layer</t>
  </si>
  <si>
    <t>Clarifier</t>
  </si>
  <si>
    <t>RAS flow</t>
  </si>
  <si>
    <t>Approximately 30-40 minutes, excluding any instructor-led discussion</t>
  </si>
  <si>
    <t>WAS flow</t>
  </si>
  <si>
    <r>
      <t>200 m</t>
    </r>
    <r>
      <rPr>
        <vertAlign val="superscript"/>
        <sz val="11"/>
        <color theme="1"/>
        <rFont val="Aptos Narrow"/>
        <family val="2"/>
      </rPr>
      <t>2</t>
    </r>
  </si>
  <si>
    <t>3 m</t>
  </si>
  <si>
    <t>Steady-state simulation</t>
  </si>
  <si>
    <t>WAIT… SLUDGE HAS AN AGE?</t>
  </si>
  <si>
    <t>Sludge retention time control and waste solids production in an activated-sludge process</t>
  </si>
  <si>
    <t>CB-003</t>
  </si>
  <si>
    <t>14 August 2026</t>
  </si>
  <si>
    <t>CB-002. How long is long enough?</t>
  </si>
  <si>
    <t xml:space="preserve">After CB-002 and after introducing the concepts of waste activated sludge and sludge retention time. </t>
  </si>
  <si>
    <t>The student will be able to calculate sludge retention time and explain how waste activated sludge flow is used to control SRT.</t>
  </si>
  <si>
    <t>The student will be able to relate sludge retention time to waste solids production and specific waste solids production.</t>
  </si>
  <si>
    <t>In Q1, the student applies the SRT calculation using steady-state simulation results obtained for different WAS flowrates and determines how WAS flow can be used to control SRT. In Q2, the student reuses the simulation results to calculate waste solids production and specific waste solids production and analyzes their relationship with SRT.</t>
  </si>
  <si>
    <t>Basic concepts: activated-sludge treatment, secondary clarification, RAS, WAS, hydraulic retention time, sludge retention time, MLSS, and solids mass flow.
Basic CEMBench ASM skills: creating a project from a template, drawing an activated-sludge topology, defining characterizations and unit properties, defining known-flow links, running Project Check, performing steady-state simulations, and reading steady-state results.
Completion of CB-002 is recommended.</t>
  </si>
  <si>
    <t>Review the distinction between hydraulic retention time and sludge retention time and the roles of RAS and WAS in an activated-sludge system. The 6-hour HRT configuration used in CB-002 may be briefly revisited.</t>
  </si>
  <si>
    <t>Ask: “Once an activated-sludge plant has been built, how can the operator change how long the solids remain in the system without changing the reactor volume?” Collect brief predictions before the simulations.</t>
  </si>
  <si>
    <t>Students build the CB-002 topology using the fixed 6-hour HRT configuration. Demonstrate the first WAS-flow case if necessary. Students then change only the WAS flow, obtain the required steady-state MLSS concentrations, calculate SRT, and complete the Q1 analysis. Q2 is completed entirely from the results obtained in Q1 and requires no additional CEMBench ASM simulations.</t>
  </si>
  <si>
    <t>Discuss WAS flow as an operational control variable for SRT and use the Q2 results to discuss how changing solids retention affects the mass of solids that must be removed and handled.</t>
  </si>
  <si>
    <t>Provide the activity workbook and the Introductory S-X Model template. Students should preferably have completed CB-002 and should be familiar with steady-state simulation, RAS, WAS, and reading MLSS results in CEMBench ASM.</t>
  </si>
  <si>
    <t>Students complete five steady-state simulations independently using the prescribed topology and operating conditions. Only the WAS flow is changed between simulations. Q2 is completed using the results generated in Q1 without additional simulations.</t>
  </si>
  <si>
    <t>Provide the CEMBench ASM user manual and reference video, if available. Clarify software-operation questions when necessary, but do not provide the expected WAS-flow–SRT relationship or the expected relationship between SRT and waste solids production.</t>
  </si>
  <si>
    <t>Students submit the completed written responses, required tables and charts, and the requested CEMBench ASM project file.</t>
  </si>
  <si>
    <t>Evaluation should focus on correct and consistent CEMBench ASM setup across the five simulations, correct SRT and solids-production calculations, correct graphical presentation, and technically sound interpretation of the relationships among WAS flow, SRT, and waste solids production.</t>
  </si>
  <si>
    <t>20-25 minutes</t>
  </si>
  <si>
    <t>Using the prescribed activated-sludge topology and operating conditions below, investigate how waste activated sludge (WAS) flow affects sludge retention time (SRT). Perform a separate steady-state simulation for each specified WAS flow rate. For every case, record the MLSS concentration in the aerated reactor and the MLSS concentration entering the Sludge Unit, and calculate the corresponding SRT. Plot SRT against WAS flow and explain how WAS flow can be used to control SRT in an activated-sludge system.</t>
  </si>
  <si>
    <r>
      <t>120 m</t>
    </r>
    <r>
      <rPr>
        <vertAlign val="superscript"/>
        <sz val="11"/>
        <color theme="1"/>
        <rFont val="Aptos Narrow"/>
        <family val="2"/>
      </rPr>
      <t>2</t>
    </r>
  </si>
  <si>
    <r>
      <rPr>
        <b/>
        <sz val="11"/>
        <color theme="1"/>
        <rFont val="Aptos Narrow"/>
        <family val="2"/>
      </rPr>
      <t>1.</t>
    </r>
    <r>
      <rPr>
        <sz val="11"/>
        <color theme="1"/>
        <rFont val="Aptos Narrow"/>
        <family val="2"/>
      </rPr>
      <t xml:space="preserve"> Complete written answer to Q1, including the completed results table and WAS flow–SRT chart.
</t>
    </r>
    <r>
      <rPr>
        <b/>
        <sz val="11"/>
        <color theme="1"/>
        <rFont val="Aptos Narrow"/>
        <family val="2"/>
      </rPr>
      <t xml:space="preserve">2. </t>
    </r>
    <r>
      <rPr>
        <sz val="11"/>
        <color theme="1"/>
        <rFont val="Aptos Narrow"/>
        <family val="2"/>
      </rPr>
      <t>CEMBench ASM project file (CBM) for the final simulation case, named Q1.cbm.</t>
    </r>
  </si>
  <si>
    <t>10-15 minutes</t>
  </si>
  <si>
    <t>Using the results obtained in Q1, determine the amount of waste solids discharged from the system at each WAS flow rate and calculate the specific waste solids production per unit volume of influent wastewater. Use the corresponding SRT values obtained in Q1 to examine the relationship between SRT and specific waste solids production. No additional CEMBench ASM simulations are required.</t>
  </si>
  <si>
    <t>No additional simulation is required. Use the steady-state results obtained in Q1.</t>
  </si>
  <si>
    <r>
      <rPr>
        <b/>
        <sz val="11"/>
        <color theme="1"/>
        <rFont val="Aptos Narrow"/>
        <family val="2"/>
      </rPr>
      <t xml:space="preserve">1. </t>
    </r>
    <r>
      <rPr>
        <sz val="11"/>
        <color theme="1"/>
        <rFont val="Aptos Narrow"/>
        <family val="2"/>
      </rPr>
      <t>Complete written answer to Q2, including the completed results table and specific waste solids production–SRT chart.</t>
    </r>
  </si>
  <si>
    <r>
      <rPr>
        <b/>
        <sz val="11"/>
        <color theme="1"/>
        <rFont val="Aptos Narrow"/>
        <family val="2"/>
      </rPr>
      <t>1.</t>
    </r>
    <r>
      <rPr>
        <sz val="11"/>
        <color theme="1"/>
        <rFont val="Aptos Narrow"/>
        <family val="2"/>
      </rPr>
      <t xml:space="preserve"> Use the five WAS-flow cases completed in Q1. Do not perform any additional CEMBench ASM simulations.
</t>
    </r>
    <r>
      <rPr>
        <b/>
        <sz val="11"/>
        <color theme="1"/>
        <rFont val="Aptos Narrow"/>
        <family val="2"/>
      </rPr>
      <t xml:space="preserve">2. </t>
    </r>
    <r>
      <rPr>
        <sz val="11"/>
        <color theme="1"/>
        <rFont val="Aptos Narrow"/>
        <family val="2"/>
      </rPr>
      <t xml:space="preserve">Transfer the WAS flow, SRT, and Sludge Unit influent MLSS concentration for each case from your Q1 results.
</t>
    </r>
    <r>
      <rPr>
        <b/>
        <sz val="11"/>
        <color theme="1"/>
        <rFont val="Aptos Narrow"/>
        <family val="2"/>
      </rPr>
      <t>3.</t>
    </r>
    <r>
      <rPr>
        <sz val="11"/>
        <color theme="1"/>
        <rFont val="Aptos Narrow"/>
        <family val="2"/>
      </rPr>
      <t xml:space="preserve"> For every case, calculate the waste solids production in kg/h using the WAS flow and the MLSS concentration entering the Sludge Unit.
</t>
    </r>
    <r>
      <rPr>
        <b/>
        <sz val="11"/>
        <color theme="1"/>
        <rFont val="Aptos Narrow"/>
        <family val="2"/>
      </rPr>
      <t>4.</t>
    </r>
    <r>
      <rPr>
        <sz val="11"/>
        <color theme="1"/>
        <rFont val="Aptos Narrow"/>
        <family val="2"/>
      </rPr>
      <t xml:space="preserve"> Calculate the specific waste solids production in kg solids/m³ influent using the influent flow of 100 m³/h.
</t>
    </r>
    <r>
      <rPr>
        <b/>
        <sz val="11"/>
        <color theme="1"/>
        <rFont val="Aptos Narrow"/>
        <family val="2"/>
      </rPr>
      <t>5.</t>
    </r>
    <r>
      <rPr>
        <sz val="11"/>
        <color theme="1"/>
        <rFont val="Aptos Narrow"/>
        <family val="2"/>
      </rPr>
      <t xml:space="preserve"> Complete the results table for all five cases.
</t>
    </r>
    <r>
      <rPr>
        <b/>
        <sz val="11"/>
        <color theme="1"/>
        <rFont val="Aptos Narrow"/>
        <family val="2"/>
      </rPr>
      <t xml:space="preserve">6. </t>
    </r>
    <r>
      <rPr>
        <sz val="11"/>
        <color theme="1"/>
        <rFont val="Aptos Narrow"/>
        <family val="2"/>
      </rPr>
      <t xml:space="preserve">Plot specific waste solids production against SRT.
</t>
    </r>
    <r>
      <rPr>
        <b/>
        <sz val="11"/>
        <color theme="1"/>
        <rFont val="Aptos Narrow"/>
        <family val="2"/>
      </rPr>
      <t>7.</t>
    </r>
    <r>
      <rPr>
        <sz val="11"/>
        <color theme="1"/>
        <rFont val="Aptos Narrow"/>
        <family val="2"/>
      </rPr>
      <t xml:space="preserve"> Examine the resulting relationship and explain how waste solids production changes with SRT.
</t>
    </r>
    <r>
      <rPr>
        <b/>
        <sz val="11"/>
        <color theme="1"/>
        <rFont val="Aptos Narrow"/>
        <family val="2"/>
      </rPr>
      <t>8.</t>
    </r>
    <r>
      <rPr>
        <sz val="11"/>
        <color theme="1"/>
        <rFont val="Aptos Narrow"/>
        <family val="2"/>
      </rPr>
      <t xml:space="preserve"> Explain the operational implication of changing SRT in terms of the amount of solids that must be removed from the system.</t>
    </r>
  </si>
  <si>
    <t>This activity introduces sludge retention time (SRT) as an operating parameter of the activated-sludge process. Students use five different waste activated sludge (WAS) flows  while keeping the reactor dimensions, influent conditions, secondary clarifier, RAS flow, and all other model settings constant. WAS flow is varied to investigate how SRT can be controlled in an operating system. Students calculate SRT from steady-state CEMBench ASM results and examine the relationship between WAS flow and SRT. They then use the same results to calculate waste solids production and specific waste solids production and analyze their relationship with SRT.</t>
  </si>
  <si>
    <t>Neslihan Manav Demir</t>
  </si>
  <si>
    <t>nmanav@yildiz.edu.tr</t>
  </si>
  <si>
    <r>
      <t>0.5, 1.0, 1.5, 2.0, 2.5 m</t>
    </r>
    <r>
      <rPr>
        <vertAlign val="superscript"/>
        <sz val="11"/>
        <color theme="1"/>
        <rFont val="Aptos Narrow"/>
        <family val="2"/>
      </rPr>
      <t>3</t>
    </r>
    <r>
      <rPr>
        <sz val="11"/>
        <color theme="1"/>
        <rFont val="Aptos Narrow"/>
        <family val="2"/>
      </rPr>
      <t>/h</t>
    </r>
  </si>
  <si>
    <r>
      <rPr>
        <b/>
        <sz val="11"/>
        <color theme="1"/>
        <rFont val="Aptos Narrow"/>
        <family val="2"/>
      </rPr>
      <t xml:space="preserve">1. </t>
    </r>
    <r>
      <rPr>
        <sz val="11"/>
        <color theme="1"/>
        <rFont val="Aptos Narrow"/>
        <family val="2"/>
      </rPr>
      <t xml:space="preserve">Create a new CEMBench ASM project using Introductory S-X Model.cbt.
</t>
    </r>
    <r>
      <rPr>
        <b/>
        <sz val="11"/>
        <color theme="1"/>
        <rFont val="Aptos Narrow"/>
        <family val="2"/>
      </rPr>
      <t xml:space="preserve">2. </t>
    </r>
    <r>
      <rPr>
        <sz val="11"/>
        <color theme="1"/>
        <rFont val="Aptos Narrow"/>
        <family val="2"/>
      </rPr>
      <t xml:space="preserve">Build the prescribed topology, including the secondary clarifier, RAS line, and WAS line.
</t>
    </r>
    <r>
      <rPr>
        <b/>
        <sz val="11"/>
        <color theme="1"/>
        <rFont val="Aptos Narrow"/>
        <family val="2"/>
      </rPr>
      <t>3.</t>
    </r>
    <r>
      <rPr>
        <sz val="11"/>
        <color theme="1"/>
        <rFont val="Aptos Narrow"/>
        <family val="2"/>
      </rPr>
      <t xml:space="preserve"> Define the influent flow, pattern, and characterization given above.
</t>
    </r>
    <r>
      <rPr>
        <b/>
        <sz val="11"/>
        <color theme="1"/>
        <rFont val="Aptos Narrow"/>
        <family val="2"/>
      </rPr>
      <t>4.</t>
    </r>
    <r>
      <rPr>
        <sz val="11"/>
        <color theme="1"/>
        <rFont val="Aptos Narrow"/>
        <family val="2"/>
      </rPr>
      <t xml:space="preserve"> Define the aerated reactor with a surface area of 120 m² and a depth of 5 m. Confirm that CEMBench ASM calculates a reactor volume of 600 m³.
</t>
    </r>
    <r>
      <rPr>
        <b/>
        <sz val="11"/>
        <color theme="1"/>
        <rFont val="Aptos Narrow"/>
        <family val="2"/>
      </rPr>
      <t>5.</t>
    </r>
    <r>
      <rPr>
        <sz val="11"/>
        <color theme="1"/>
        <rFont val="Aptos Narrow"/>
        <family val="2"/>
      </rPr>
      <t xml:space="preserve"> Define the reactor initial characterization and set constant DO to 2 mg/L.
</t>
    </r>
    <r>
      <rPr>
        <b/>
        <sz val="11"/>
        <color theme="1"/>
        <rFont val="Aptos Narrow"/>
        <family val="2"/>
      </rPr>
      <t>6.</t>
    </r>
    <r>
      <rPr>
        <sz val="11"/>
        <color theme="1"/>
        <rFont val="Aptos Narrow"/>
        <family val="2"/>
      </rPr>
      <t xml:space="preserve"> Define the secondary clarifier and set the RAS flow to 100 m³/h.
</t>
    </r>
    <r>
      <rPr>
        <b/>
        <sz val="11"/>
        <color theme="1"/>
        <rFont val="Aptos Narrow"/>
        <family val="2"/>
      </rPr>
      <t>7.</t>
    </r>
    <r>
      <rPr>
        <sz val="11"/>
        <color theme="1"/>
        <rFont val="Aptos Narrow"/>
        <family val="2"/>
      </rPr>
      <t xml:space="preserve"> Start with a WAS flow of 0.5 m³/h.
</t>
    </r>
    <r>
      <rPr>
        <b/>
        <sz val="11"/>
        <color theme="1"/>
        <rFont val="Aptos Narrow"/>
        <family val="2"/>
      </rPr>
      <t>8.</t>
    </r>
    <r>
      <rPr>
        <sz val="11"/>
        <color theme="1"/>
        <rFont val="Aptos Narrow"/>
        <family val="2"/>
      </rPr>
      <t xml:space="preserve"> Run Project Check and perform a steady-state simulation.
</t>
    </r>
    <r>
      <rPr>
        <b/>
        <sz val="11"/>
        <color theme="1"/>
        <rFont val="Aptos Narrow"/>
        <family val="2"/>
      </rPr>
      <t>9.</t>
    </r>
    <r>
      <rPr>
        <sz val="11"/>
        <color theme="1"/>
        <rFont val="Aptos Narrow"/>
        <family val="2"/>
      </rPr>
      <t xml:space="preserve"> Record the steady-state MLSS concentration in the aerated reactor and the MLSS concentration entering the Sludge Unit.
</t>
    </r>
    <r>
      <rPr>
        <b/>
        <sz val="11"/>
        <color theme="1"/>
        <rFont val="Aptos Narrow"/>
        <family val="2"/>
      </rPr>
      <t>10.</t>
    </r>
    <r>
      <rPr>
        <sz val="11"/>
        <color theme="1"/>
        <rFont val="Aptos Narrow"/>
        <family val="2"/>
      </rPr>
      <t xml:space="preserve"> Calculate the corresponding SRT.
</t>
    </r>
    <r>
      <rPr>
        <b/>
        <sz val="11"/>
        <color theme="1"/>
        <rFont val="Aptos Narrow"/>
        <family val="2"/>
      </rPr>
      <t>11.</t>
    </r>
    <r>
      <rPr>
        <sz val="11"/>
        <color theme="1"/>
        <rFont val="Aptos Narrow"/>
        <family val="2"/>
      </rPr>
      <t xml:space="preserve"> Repeat the steady-state simulation for WAS flows of 1.0, 1.5, 2.0, 2.5 m³/h. Change only the WAS flow and keep all other project settings unchanged.
</t>
    </r>
    <r>
      <rPr>
        <b/>
        <sz val="11"/>
        <color theme="1"/>
        <rFont val="Aptos Narrow"/>
        <family val="2"/>
      </rPr>
      <t>12.</t>
    </r>
    <r>
      <rPr>
        <sz val="11"/>
        <color theme="1"/>
        <rFont val="Aptos Narrow"/>
        <family val="2"/>
      </rPr>
      <t xml:space="preserve"> Record the required MLSS concentrations and calculate SRT for every case.
</t>
    </r>
    <r>
      <rPr>
        <b/>
        <sz val="11"/>
        <color theme="1"/>
        <rFont val="Aptos Narrow"/>
        <family val="2"/>
      </rPr>
      <t>13.</t>
    </r>
    <r>
      <rPr>
        <sz val="11"/>
        <color theme="1"/>
        <rFont val="Aptos Narrow"/>
        <family val="2"/>
      </rPr>
      <t xml:space="preserve"> Plot SRT (d) against WAS flow (m³/h).
</t>
    </r>
    <r>
      <rPr>
        <b/>
        <sz val="11"/>
        <color theme="1"/>
        <rFont val="Aptos Narrow"/>
        <family val="2"/>
      </rPr>
      <t>14.</t>
    </r>
    <r>
      <rPr>
        <sz val="11"/>
        <color theme="1"/>
        <rFont val="Aptos Narrow"/>
        <family val="2"/>
      </rPr>
      <t xml:space="preserve"> Explain the relationship between WAS flow and SRT and describe how an operator can use WAS flow to control SRT.</t>
    </r>
  </si>
  <si>
    <t>https://youtu.be/1zKYDCrlW3A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</si>
</sst>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1">
    <xf numFmtId="0" fontId="0" fillId="0" borderId="0"/>
  </cellStyleXfs>
  <cellXfs count="183">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0" fillId="6" borderId="34" xfId="0" applyFill="1" applyBorder="1" applyAlignment="1">
      <alignment vertical="top" wrapText="1"/>
    </xf>
    <xf numFmtId="0" fontId="0" fillId="6" borderId="35" xfId="0" applyFill="1"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2" fillId="2"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1" xfId="0" applyFont="1" applyFill="1" applyBorder="1" applyAlignment="1">
      <alignment horizontal="left" vertical="top"/>
    </xf>
    <xf numFmtId="0" fontId="1" fillId="4" borderId="6" xfId="0" applyFont="1" applyFill="1" applyBorder="1" applyAlignment="1">
      <alignment horizontal="left"/>
    </xf>
    <xf numFmtId="0" fontId="3" fillId="6" borderId="6" xfId="0" applyFont="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3" fillId="5" borderId="6" xfId="0" applyNumberFormat="1" applyFont="1" applyFill="1" applyBorder="1" applyAlignment="1">
      <alignment horizontal="left"/>
    </xf>
    <xf numFmtId="49" fontId="0" fillId="5" borderId="6" xfId="0" applyNumberFormat="1" applyFill="1" applyBorder="1" applyAlignment="1">
      <alignment horizontal="left"/>
    </xf>
    <xf numFmtId="49" fontId="3" fillId="5" borderId="5" xfId="0" applyNumberFormat="1" applyFont="1" applyFill="1" applyBorder="1" applyAlignment="1">
      <alignment horizontal="left"/>
    </xf>
    <xf numFmtId="49" fontId="0" fillId="5" borderId="5" xfId="0" applyNumberFormat="1" applyFill="1" applyBorder="1" applyAlignment="1">
      <alignment horizontal="left"/>
    </xf>
    <xf numFmtId="0" fontId="3" fillId="5" borderId="6" xfId="0" applyFon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5" borderId="1"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0" fillId="5" borderId="5" xfId="0"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0" fillId="5" borderId="1" xfId="0" applyFill="1" applyBorder="1" applyAlignment="1">
      <alignment horizontal="justify" vertical="top" wrapText="1"/>
    </xf>
    <xf numFmtId="0" fontId="3" fillId="6" borderId="6" xfId="0" applyFont="1"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3" fillId="5" borderId="12"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3" fillId="5" borderId="15"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3" fillId="5" borderId="3" xfId="0" applyFont="1"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6" borderId="12" xfId="0" applyFont="1"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1"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5" borderId="9" xfId="0" applyFont="1" applyFill="1" applyBorder="1" applyAlignment="1">
      <alignment horizontal="justify"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7" borderId="26" xfId="0" applyFill="1" applyBorder="1" applyAlignment="1">
      <alignment horizontal="center" vertical="center"/>
    </xf>
    <xf numFmtId="0" fontId="1" fillId="4" borderId="5" xfId="0" applyFont="1" applyFill="1" applyBorder="1" applyAlignment="1">
      <alignment horizontal="left" vertical="top"/>
    </xf>
    <xf numFmtId="0" fontId="1" fillId="4" borderId="7" xfId="0" applyFont="1" applyFill="1" applyBorder="1" applyAlignment="1">
      <alignment horizontal="left" vertical="top"/>
    </xf>
    <xf numFmtId="0" fontId="3" fillId="5" borderId="8" xfId="0" applyFont="1" applyFill="1" applyBorder="1" applyAlignment="1">
      <alignment horizontal="justify" vertical="top" wrapText="1"/>
    </xf>
    <xf numFmtId="0" fontId="3" fillId="6" borderId="11" xfId="0" applyFont="1" applyFill="1" applyBorder="1" applyAlignment="1">
      <alignment horizontal="justify" vertical="top" wrapText="1"/>
    </xf>
    <xf numFmtId="0" fontId="3" fillId="5" borderId="11" xfId="0" applyFont="1" applyFill="1" applyBorder="1" applyAlignment="1">
      <alignment horizontal="justify" vertical="top" wrapText="1"/>
    </xf>
    <xf numFmtId="0" fontId="3" fillId="6" borderId="14" xfId="0" applyFont="1" applyFill="1" applyBorder="1" applyAlignment="1">
      <alignment horizontal="justify" vertical="top" wrapText="1"/>
    </xf>
    <xf numFmtId="0" fontId="0" fillId="6" borderId="15" xfId="0" applyFill="1" applyBorder="1" applyAlignment="1">
      <alignment horizontal="justify" vertical="top" wrapText="1"/>
    </xf>
    <xf numFmtId="0" fontId="0" fillId="6" borderId="16" xfId="0" applyFill="1" applyBorder="1" applyAlignment="1">
      <alignment horizontal="justify" vertical="top" wrapText="1"/>
    </xf>
    <xf numFmtId="0" fontId="3" fillId="5" borderId="14" xfId="0" applyFont="1" applyFill="1" applyBorder="1" applyAlignment="1">
      <alignment horizontal="justify"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1" fillId="0" borderId="36" xfId="0" applyFont="1" applyBorder="1" applyAlignment="1">
      <alignment horizontal="left" vertical="top"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3" fillId="0" borderId="11" xfId="0" applyFont="1" applyBorder="1" applyAlignment="1">
      <alignment horizontal="justify"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1" fillId="0" borderId="41" xfId="0" applyFont="1" applyBorder="1" applyAlignment="1">
      <alignment horizontal="left" vertical="center" wrapText="1"/>
    </xf>
    <xf numFmtId="0" fontId="5" fillId="0" borderId="0" xfId="0" applyFont="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3" fillId="0" borderId="36" xfId="0" applyFont="1" applyBorder="1" applyAlignment="1">
      <alignment horizontal="left" vertical="top" wrapText="1"/>
    </xf>
    <xf numFmtId="0" fontId="1" fillId="0" borderId="42" xfId="0" applyFont="1" applyBorder="1" applyAlignment="1">
      <alignment horizontal="left" vertical="top" wrapText="1"/>
    </xf>
  </cellXfs>
  <cellStyles count="1">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26</xdr:row>
      <xdr:rowOff>95251</xdr:rowOff>
    </xdr:from>
    <xdr:to>
      <xdr:col>28</xdr:col>
      <xdr:colOff>0</xdr:colOff>
      <xdr:row>26</xdr:row>
      <xdr:rowOff>2340344</xdr:rowOff>
    </xdr:to>
    <xdr:pic>
      <xdr:nvPicPr>
        <xdr:cNvPr id="3" name="Resim 2">
          <a:extLst>
            <a:ext uri="{FF2B5EF4-FFF2-40B4-BE49-F238E27FC236}">
              <a16:creationId xmlns:a16="http://schemas.microsoft.com/office/drawing/2014/main" id="{EAEC9B0D-DCEC-2DD6-512F-E3EB3B2EA772}"/>
            </a:ext>
          </a:extLst>
        </xdr:cNvPr>
        <xdr:cNvPicPr>
          <a:picLocks noChangeAspect="1"/>
        </xdr:cNvPicPr>
      </xdr:nvPicPr>
      <xdr:blipFill>
        <a:blip xmlns:r="http://schemas.openxmlformats.org/officeDocument/2006/relationships" r:embed="rId1"/>
        <a:stretch>
          <a:fillRect/>
        </a:stretch>
      </xdr:blipFill>
      <xdr:spPr>
        <a:xfrm>
          <a:off x="1514475" y="7524751"/>
          <a:ext cx="4086225" cy="22450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opLeftCell="E1" workbookViewId="0">
      <selection activeCell="K6" sqref="K6"/>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9" t="s">
        <v>2</v>
      </c>
      <c r="E1" s="9" t="s">
        <v>3</v>
      </c>
      <c r="F1" s="3"/>
      <c r="G1" s="9" t="s">
        <v>4</v>
      </c>
      <c r="H1" s="9" t="s">
        <v>5</v>
      </c>
      <c r="I1" s="3"/>
      <c r="J1" s="9" t="s">
        <v>6</v>
      </c>
      <c r="K1" s="9" t="s">
        <v>7</v>
      </c>
      <c r="L1" s="3"/>
      <c r="M1" s="4" t="s">
        <v>8</v>
      </c>
      <c r="N1" s="3"/>
      <c r="O1" s="3" t="s">
        <v>9</v>
      </c>
      <c r="P1" s="3"/>
      <c r="Q1" s="4" t="s">
        <v>10</v>
      </c>
      <c r="R1" s="4" t="s">
        <v>11</v>
      </c>
      <c r="S1" s="11" t="s">
        <v>12</v>
      </c>
    </row>
    <row r="2" spans="1:19" ht="35.25" customHeight="1" x14ac:dyDescent="0.25">
      <c r="A2" s="6" t="s">
        <v>13</v>
      </c>
      <c r="B2" s="6" t="s">
        <v>14</v>
      </c>
      <c r="C2" s="3"/>
      <c r="D2" s="10" t="s">
        <v>15</v>
      </c>
      <c r="E2" s="10" t="s">
        <v>16</v>
      </c>
      <c r="F2" s="3"/>
      <c r="G2" s="10" t="s">
        <v>15</v>
      </c>
      <c r="H2" s="10" t="s">
        <v>17</v>
      </c>
      <c r="I2" s="3"/>
      <c r="J2" s="10" t="s">
        <v>18</v>
      </c>
      <c r="K2" s="10" t="s">
        <v>19</v>
      </c>
      <c r="L2" s="3"/>
      <c r="M2" s="3" t="s">
        <v>20</v>
      </c>
      <c r="N2" s="3"/>
      <c r="O2" s="3"/>
      <c r="P2" s="3"/>
      <c r="Q2" s="3" t="s">
        <v>21</v>
      </c>
      <c r="R2" s="3" t="s">
        <v>22</v>
      </c>
      <c r="S2" t="s">
        <v>23</v>
      </c>
    </row>
    <row r="3" spans="1:19" ht="35.25" customHeight="1" x14ac:dyDescent="0.25">
      <c r="A3" s="6" t="s">
        <v>24</v>
      </c>
      <c r="B3" s="6" t="s">
        <v>25</v>
      </c>
      <c r="C3" s="3"/>
      <c r="D3" s="10" t="s">
        <v>26</v>
      </c>
      <c r="E3" s="10" t="s">
        <v>27</v>
      </c>
      <c r="F3" s="3"/>
      <c r="G3" s="10" t="s">
        <v>26</v>
      </c>
      <c r="H3" s="10" t="s">
        <v>28</v>
      </c>
      <c r="I3" s="3"/>
      <c r="J3" s="10" t="s">
        <v>29</v>
      </c>
      <c r="K3" s="10" t="s">
        <v>30</v>
      </c>
      <c r="L3" s="3"/>
      <c r="M3" s="3" t="s">
        <v>31</v>
      </c>
      <c r="N3" s="3"/>
      <c r="O3" s="3"/>
      <c r="P3" s="3"/>
      <c r="Q3" s="3" t="s">
        <v>32</v>
      </c>
      <c r="R3" s="3" t="s">
        <v>33</v>
      </c>
      <c r="S3" t="s">
        <v>34</v>
      </c>
    </row>
    <row r="4" spans="1:19" ht="35.25" customHeight="1" x14ac:dyDescent="0.25">
      <c r="A4" s="6" t="s">
        <v>35</v>
      </c>
      <c r="B4" s="6" t="s">
        <v>36</v>
      </c>
      <c r="C4" s="3"/>
      <c r="D4" s="10" t="s">
        <v>37</v>
      </c>
      <c r="E4" s="10" t="s">
        <v>38</v>
      </c>
      <c r="F4" s="3"/>
      <c r="G4" s="10" t="s">
        <v>37</v>
      </c>
      <c r="H4" s="10" t="s">
        <v>39</v>
      </c>
      <c r="I4" s="3"/>
      <c r="J4" s="10" t="s">
        <v>40</v>
      </c>
      <c r="K4" s="10" t="s">
        <v>41</v>
      </c>
      <c r="L4" s="3"/>
      <c r="M4" s="3" t="s">
        <v>42</v>
      </c>
      <c r="N4" s="3"/>
      <c r="O4" s="3"/>
      <c r="P4" s="3"/>
      <c r="Q4" s="3" t="s">
        <v>43</v>
      </c>
      <c r="R4" s="3" t="s">
        <v>44</v>
      </c>
      <c r="S4" t="s">
        <v>45</v>
      </c>
    </row>
    <row r="5" spans="1:19" ht="35.25" customHeight="1" x14ac:dyDescent="0.25">
      <c r="A5" s="6" t="s">
        <v>46</v>
      </c>
      <c r="B5" s="6" t="s">
        <v>47</v>
      </c>
      <c r="C5" s="3"/>
      <c r="D5" s="10" t="s">
        <v>48</v>
      </c>
      <c r="E5" s="10" t="s">
        <v>49</v>
      </c>
      <c r="F5" s="3"/>
      <c r="G5" s="10" t="s">
        <v>48</v>
      </c>
      <c r="H5" s="10" t="s">
        <v>50</v>
      </c>
      <c r="I5" s="3"/>
      <c r="J5" s="10" t="s">
        <v>51</v>
      </c>
      <c r="K5" s="10" t="s">
        <v>52</v>
      </c>
      <c r="L5" s="3"/>
      <c r="M5" s="3" t="s">
        <v>53</v>
      </c>
      <c r="N5" s="3"/>
      <c r="O5" s="3"/>
      <c r="P5" s="3"/>
      <c r="Q5" s="3" t="s">
        <v>54</v>
      </c>
      <c r="R5" s="3" t="s">
        <v>55</v>
      </c>
      <c r="S5" t="s">
        <v>56</v>
      </c>
    </row>
    <row r="6" spans="1:19" ht="35.25" customHeight="1" x14ac:dyDescent="0.25">
      <c r="A6" s="6" t="s">
        <v>57</v>
      </c>
      <c r="B6" s="6" t="s">
        <v>58</v>
      </c>
      <c r="C6" s="3"/>
      <c r="D6" s="10" t="s">
        <v>59</v>
      </c>
      <c r="E6" s="10" t="s">
        <v>60</v>
      </c>
      <c r="F6" s="3"/>
      <c r="G6" s="10" t="s">
        <v>59</v>
      </c>
      <c r="H6" s="10" t="s">
        <v>61</v>
      </c>
      <c r="I6" s="3"/>
      <c r="J6" s="10" t="s">
        <v>62</v>
      </c>
      <c r="K6" s="10" t="s">
        <v>63</v>
      </c>
      <c r="L6" s="3"/>
      <c r="M6" s="3" t="s">
        <v>64</v>
      </c>
      <c r="N6" s="3"/>
      <c r="O6" s="3"/>
      <c r="P6" s="3"/>
      <c r="Q6" s="3" t="s">
        <v>65</v>
      </c>
      <c r="R6" s="3" t="s">
        <v>66</v>
      </c>
      <c r="S6" t="s">
        <v>67</v>
      </c>
    </row>
    <row r="7" spans="1:19" ht="35.25" customHeight="1" x14ac:dyDescent="0.25">
      <c r="A7" s="6" t="s">
        <v>68</v>
      </c>
      <c r="B7" s="6" t="s">
        <v>69</v>
      </c>
      <c r="C7" s="3"/>
      <c r="D7" s="10" t="s">
        <v>70</v>
      </c>
      <c r="E7" s="10" t="s">
        <v>71</v>
      </c>
      <c r="F7" s="3"/>
      <c r="G7" s="10" t="s">
        <v>70</v>
      </c>
      <c r="H7" s="10" t="s">
        <v>72</v>
      </c>
      <c r="I7" s="3"/>
      <c r="J7" s="10" t="s">
        <v>73</v>
      </c>
      <c r="K7" s="10" t="s">
        <v>74</v>
      </c>
      <c r="L7" s="3"/>
      <c r="M7" s="3"/>
      <c r="N7" s="3"/>
      <c r="O7" s="3"/>
      <c r="P7" s="3"/>
      <c r="Q7" s="3"/>
      <c r="R7" s="3"/>
    </row>
    <row r="8" spans="1:19" ht="35.25" customHeight="1" x14ac:dyDescent="0.25">
      <c r="A8" s="3"/>
      <c r="B8" s="3"/>
      <c r="C8" s="3"/>
      <c r="D8" s="10" t="s">
        <v>75</v>
      </c>
      <c r="E8" s="10" t="s">
        <v>76</v>
      </c>
      <c r="F8" s="3"/>
      <c r="G8" s="10" t="s">
        <v>75</v>
      </c>
      <c r="H8" s="10" t="s">
        <v>77</v>
      </c>
      <c r="I8" s="3"/>
      <c r="J8" s="10" t="s">
        <v>78</v>
      </c>
      <c r="K8" s="10" t="s">
        <v>79</v>
      </c>
      <c r="L8" s="3"/>
      <c r="M8" s="3"/>
      <c r="N8" s="3"/>
      <c r="O8" s="3"/>
      <c r="P8" s="3"/>
      <c r="Q8" s="3"/>
      <c r="R8" s="3"/>
    </row>
    <row r="9" spans="1:19" ht="35.25" customHeight="1" x14ac:dyDescent="0.25">
      <c r="A9" s="3"/>
      <c r="B9" s="3"/>
      <c r="C9" s="3"/>
      <c r="D9" s="3"/>
      <c r="E9" s="3"/>
      <c r="F9" s="3"/>
      <c r="G9" s="10" t="s">
        <v>80</v>
      </c>
      <c r="H9" s="10" t="s">
        <v>81</v>
      </c>
      <c r="I9" s="3"/>
      <c r="J9" s="10" t="s">
        <v>82</v>
      </c>
      <c r="K9" s="10" t="s">
        <v>83</v>
      </c>
      <c r="L9" s="3"/>
      <c r="M9" s="3"/>
      <c r="N9" s="3"/>
      <c r="O9" s="3"/>
      <c r="P9" s="3"/>
      <c r="Q9" s="3"/>
      <c r="R9" s="3"/>
    </row>
    <row r="10" spans="1:19" ht="35.25" customHeight="1" x14ac:dyDescent="0.25">
      <c r="A10" s="3"/>
      <c r="B10" s="3"/>
      <c r="C10" s="3"/>
      <c r="D10" s="3"/>
      <c r="E10" s="3"/>
      <c r="F10" s="3"/>
      <c r="G10" s="3"/>
      <c r="H10" s="3"/>
      <c r="I10" s="3"/>
      <c r="J10" s="10" t="s">
        <v>84</v>
      </c>
      <c r="K10" s="10" t="s">
        <v>85</v>
      </c>
      <c r="L10" s="3"/>
      <c r="M10" s="3"/>
      <c r="N10" s="3"/>
      <c r="O10" s="3"/>
      <c r="P10" s="3"/>
      <c r="Q10" s="3"/>
      <c r="R10" s="3"/>
    </row>
    <row r="11" spans="1:19" ht="35.25" customHeight="1" x14ac:dyDescent="0.25">
      <c r="A11" s="3"/>
      <c r="B11" s="3"/>
      <c r="C11" s="3"/>
      <c r="D11" s="3"/>
      <c r="E11" s="3"/>
      <c r="F11" s="3"/>
      <c r="G11" s="3"/>
      <c r="H11" s="3"/>
      <c r="I11" s="3"/>
      <c r="J11" s="10" t="s">
        <v>86</v>
      </c>
      <c r="K11" s="10" t="s">
        <v>87</v>
      </c>
      <c r="L11" s="3"/>
      <c r="M11" s="3"/>
      <c r="N11" s="3"/>
      <c r="O11" s="3"/>
      <c r="P11" s="3"/>
      <c r="Q11" s="3"/>
      <c r="R11" s="3"/>
    </row>
    <row r="12" spans="1:19" ht="35.25" customHeight="1" x14ac:dyDescent="0.25">
      <c r="A12" s="3"/>
      <c r="B12" s="3"/>
      <c r="C12" s="3"/>
      <c r="D12" s="3"/>
      <c r="E12" s="3"/>
      <c r="F12" s="3"/>
      <c r="G12" s="3"/>
      <c r="H12" s="3"/>
      <c r="I12" s="3"/>
      <c r="J12" s="10" t="s">
        <v>88</v>
      </c>
      <c r="K12" s="10" t="s">
        <v>89</v>
      </c>
      <c r="L12" s="3"/>
      <c r="M12" s="3"/>
      <c r="N12" s="3"/>
      <c r="O12" s="3"/>
      <c r="P12" s="3"/>
      <c r="Q12" s="3"/>
      <c r="R12" s="3"/>
    </row>
    <row r="13" spans="1:19" ht="35.25" customHeight="1" x14ac:dyDescent="0.25">
      <c r="A13" s="3"/>
      <c r="B13" s="3"/>
      <c r="C13" s="3"/>
      <c r="D13" s="3"/>
      <c r="E13" s="3"/>
      <c r="F13" s="3"/>
      <c r="G13" s="3"/>
      <c r="H13" s="3"/>
      <c r="I13" s="3"/>
      <c r="J13" s="10" t="s">
        <v>90</v>
      </c>
      <c r="K13" s="10" t="s">
        <v>91</v>
      </c>
      <c r="L13" s="3"/>
      <c r="M13" s="3"/>
      <c r="N13" s="3"/>
      <c r="O13" s="3"/>
      <c r="P13" s="3"/>
      <c r="Q13" s="3"/>
      <c r="R13" s="3"/>
    </row>
    <row r="14" spans="1:19" ht="35.25" customHeight="1" x14ac:dyDescent="0.25">
      <c r="A14" s="3"/>
      <c r="B14" s="3"/>
      <c r="C14" s="3"/>
      <c r="D14" s="3"/>
      <c r="E14" s="3"/>
      <c r="F14" s="3"/>
      <c r="G14" s="3"/>
      <c r="H14" s="3"/>
      <c r="I14" s="3"/>
      <c r="J14" s="10" t="s">
        <v>92</v>
      </c>
      <c r="K14" s="10" t="s">
        <v>93</v>
      </c>
      <c r="L14" s="3"/>
      <c r="M14" s="3"/>
      <c r="N14" s="3"/>
      <c r="O14" s="3"/>
      <c r="P14" s="3"/>
      <c r="Q14" s="3"/>
      <c r="R14" s="3"/>
    </row>
    <row r="15" spans="1:19" ht="35.25" customHeight="1" x14ac:dyDescent="0.25">
      <c r="A15" s="3"/>
      <c r="B15" s="3"/>
      <c r="C15" s="3"/>
      <c r="D15" s="3"/>
      <c r="E15" s="3"/>
      <c r="F15" s="3"/>
      <c r="G15" s="3"/>
      <c r="H15" s="3"/>
      <c r="I15" s="3"/>
      <c r="J15" s="10" t="s">
        <v>94</v>
      </c>
      <c r="K15" s="10" t="s">
        <v>95</v>
      </c>
      <c r="L15" s="3"/>
      <c r="M15" s="3"/>
      <c r="N15" s="3"/>
      <c r="O15" s="3"/>
      <c r="P15" s="3"/>
      <c r="Q15" s="3"/>
      <c r="R15" s="3"/>
    </row>
    <row r="16" spans="1:19" ht="35.25" customHeight="1" x14ac:dyDescent="0.25">
      <c r="A16" s="3"/>
      <c r="B16" s="3"/>
      <c r="C16" s="3"/>
      <c r="D16" s="3"/>
      <c r="E16" s="3"/>
      <c r="F16" s="3"/>
      <c r="G16" s="3"/>
      <c r="H16" s="3"/>
      <c r="I16" s="3"/>
      <c r="J16" s="10" t="s">
        <v>96</v>
      </c>
      <c r="K16" s="10" t="s">
        <v>97</v>
      </c>
      <c r="L16" s="3"/>
      <c r="M16" s="3"/>
      <c r="N16" s="3"/>
      <c r="O16" s="3"/>
      <c r="P16" s="3"/>
      <c r="Q16" s="3"/>
      <c r="R16" s="3"/>
    </row>
    <row r="17" spans="1:18" ht="35.25" customHeight="1" x14ac:dyDescent="0.25">
      <c r="A17" s="3"/>
      <c r="B17" s="3"/>
      <c r="C17" s="3"/>
      <c r="D17" s="3"/>
      <c r="E17" s="3"/>
      <c r="F17" s="3"/>
      <c r="G17" s="3"/>
      <c r="H17" s="3"/>
      <c r="I17" s="3"/>
      <c r="J17" s="10" t="s">
        <v>98</v>
      </c>
      <c r="K17" s="10" t="s">
        <v>99</v>
      </c>
      <c r="L17" s="3"/>
      <c r="M17" s="3"/>
      <c r="N17" s="3"/>
      <c r="O17" s="3"/>
      <c r="P17" s="3"/>
      <c r="Q17" s="3"/>
      <c r="R17" s="3"/>
    </row>
    <row r="18" spans="1:18" ht="35.25" customHeight="1" x14ac:dyDescent="0.25">
      <c r="A18" s="3"/>
      <c r="B18" s="3"/>
      <c r="C18" s="3"/>
      <c r="D18" s="3"/>
      <c r="E18" s="3"/>
      <c r="F18" s="3"/>
      <c r="G18" s="3"/>
      <c r="H18" s="3"/>
      <c r="I18" s="3"/>
      <c r="J18" s="10" t="s">
        <v>100</v>
      </c>
      <c r="K18" s="10" t="s">
        <v>101</v>
      </c>
      <c r="L18" s="3"/>
      <c r="M18" s="3"/>
      <c r="N18" s="3"/>
      <c r="O18" s="3"/>
      <c r="P18" s="3"/>
      <c r="Q18" s="3"/>
      <c r="R18" s="3"/>
    </row>
    <row r="19" spans="1:18" ht="35.25" customHeight="1" x14ac:dyDescent="0.25">
      <c r="A19" s="3"/>
      <c r="B19" s="3"/>
      <c r="C19" s="3"/>
      <c r="D19" s="3"/>
      <c r="E19" s="3"/>
      <c r="F19" s="3"/>
      <c r="G19" s="3"/>
      <c r="H19" s="3"/>
      <c r="I19" s="3"/>
      <c r="J19" s="10" t="s">
        <v>102</v>
      </c>
      <c r="K19" s="10" t="s">
        <v>103</v>
      </c>
      <c r="L19" s="3"/>
      <c r="M19" s="3"/>
      <c r="N19" s="3"/>
      <c r="O19" s="3"/>
      <c r="P19" s="3"/>
      <c r="Q19" s="3"/>
      <c r="R19" s="3"/>
    </row>
    <row r="20" spans="1:18" ht="35.25" customHeight="1" x14ac:dyDescent="0.25">
      <c r="A20" s="3"/>
      <c r="B20" s="3"/>
      <c r="C20" s="3"/>
      <c r="D20" s="3"/>
      <c r="E20" s="3"/>
      <c r="F20" s="3"/>
      <c r="G20" s="3"/>
      <c r="H20" s="3"/>
      <c r="I20" s="3"/>
      <c r="J20" s="10" t="s">
        <v>104</v>
      </c>
      <c r="K20" s="10" t="s">
        <v>105</v>
      </c>
      <c r="L20" s="3"/>
      <c r="M20" s="3"/>
      <c r="N20" s="3"/>
      <c r="O20" s="3"/>
      <c r="P20" s="3"/>
      <c r="Q20" s="3"/>
      <c r="R20" s="3"/>
    </row>
    <row r="21" spans="1:18" ht="35.25" customHeight="1" x14ac:dyDescent="0.25">
      <c r="A21" s="3"/>
      <c r="B21" s="3"/>
      <c r="C21" s="3"/>
      <c r="D21" s="3"/>
      <c r="E21" s="3"/>
      <c r="F21" s="3"/>
      <c r="G21" s="3"/>
      <c r="H21" s="3"/>
      <c r="I21" s="3"/>
      <c r="J21" s="10" t="s">
        <v>106</v>
      </c>
      <c r="K21" s="10" t="s">
        <v>107</v>
      </c>
      <c r="L21" s="3"/>
      <c r="M21" s="3"/>
      <c r="N21" s="3"/>
      <c r="O21" s="3"/>
      <c r="P21" s="3"/>
      <c r="Q21" s="3"/>
      <c r="R21" s="3"/>
    </row>
    <row r="22" spans="1:18" ht="35.25" customHeight="1" x14ac:dyDescent="0.25">
      <c r="A22" s="3"/>
      <c r="B22" s="3"/>
      <c r="C22" s="3"/>
      <c r="D22" s="3"/>
      <c r="E22" s="3"/>
      <c r="F22" s="3"/>
      <c r="G22" s="3"/>
      <c r="H22" s="3"/>
      <c r="I22" s="3"/>
      <c r="J22" s="10" t="s">
        <v>108</v>
      </c>
      <c r="K22" s="10" t="s">
        <v>109</v>
      </c>
      <c r="L22" s="3"/>
      <c r="M22" s="3"/>
      <c r="N22" s="3"/>
      <c r="O22" s="3"/>
      <c r="P22" s="3"/>
      <c r="Q22" s="3"/>
      <c r="R22" s="3"/>
    </row>
    <row r="23" spans="1:18" ht="35.25" customHeight="1" x14ac:dyDescent="0.25">
      <c r="A23" s="3"/>
      <c r="B23" s="3"/>
      <c r="C23" s="3"/>
      <c r="D23" s="3"/>
      <c r="E23" s="3"/>
      <c r="F23" s="3"/>
      <c r="G23" s="3"/>
      <c r="H23" s="3"/>
      <c r="I23" s="3"/>
      <c r="J23" s="10" t="s">
        <v>110</v>
      </c>
      <c r="K23" s="10" t="s">
        <v>111</v>
      </c>
      <c r="L23" s="3"/>
      <c r="M23" s="3"/>
      <c r="N23" s="3"/>
      <c r="O23" s="3"/>
      <c r="P23" s="3"/>
      <c r="Q23" s="3"/>
      <c r="R23" s="3"/>
    </row>
    <row r="24" spans="1:18" ht="35.25" customHeight="1" x14ac:dyDescent="0.25">
      <c r="A24" s="3"/>
      <c r="B24" s="3"/>
      <c r="C24" s="3"/>
      <c r="D24" s="3"/>
      <c r="E24" s="3"/>
      <c r="F24" s="3"/>
      <c r="G24" s="3"/>
      <c r="H24" s="3"/>
      <c r="I24" s="3"/>
      <c r="J24" s="10" t="s">
        <v>112</v>
      </c>
      <c r="K24" s="10" t="s">
        <v>113</v>
      </c>
      <c r="L24" s="3"/>
      <c r="M24" s="3"/>
      <c r="N24" s="3"/>
      <c r="O24" s="3"/>
      <c r="P24" s="3"/>
      <c r="Q24" s="3"/>
      <c r="R24" s="3"/>
    </row>
    <row r="25" spans="1:18" ht="35.25" customHeight="1" x14ac:dyDescent="0.25">
      <c r="A25" s="3"/>
      <c r="B25" s="3"/>
      <c r="C25" s="3"/>
      <c r="D25" s="3"/>
      <c r="E25" s="3"/>
      <c r="F25" s="3"/>
      <c r="G25" s="3"/>
      <c r="H25" s="3"/>
      <c r="I25" s="3"/>
      <c r="J25" s="10" t="s">
        <v>114</v>
      </c>
      <c r="K25" s="10" t="s">
        <v>115</v>
      </c>
      <c r="L25" s="3"/>
      <c r="M25" s="3"/>
      <c r="N25" s="3"/>
      <c r="O25" s="3"/>
      <c r="P25" s="3"/>
      <c r="Q25" s="3"/>
      <c r="R25" s="3"/>
    </row>
    <row r="26" spans="1:18" ht="35.25" customHeight="1" x14ac:dyDescent="0.25">
      <c r="A26" s="3"/>
      <c r="B26" s="3"/>
      <c r="C26" s="3"/>
      <c r="D26" s="3"/>
      <c r="E26" s="3"/>
      <c r="F26" s="3"/>
      <c r="G26" s="3"/>
      <c r="H26" s="3"/>
      <c r="I26" s="3"/>
      <c r="J26" s="10" t="s">
        <v>116</v>
      </c>
      <c r="K26" s="10" t="s">
        <v>117</v>
      </c>
      <c r="L26" s="3"/>
      <c r="M26" s="3"/>
      <c r="N26" s="3"/>
      <c r="O26" s="3"/>
      <c r="P26" s="3"/>
      <c r="Q26" s="3"/>
      <c r="R26" s="3"/>
    </row>
    <row r="27" spans="1:18" ht="35.25" customHeight="1" x14ac:dyDescent="0.25">
      <c r="A27" s="3"/>
      <c r="B27" s="3"/>
      <c r="C27" s="3"/>
      <c r="D27" s="3"/>
      <c r="E27" s="3"/>
      <c r="F27" s="3"/>
      <c r="G27" s="3"/>
      <c r="H27" s="3"/>
      <c r="I27" s="3"/>
      <c r="J27" s="10" t="s">
        <v>118</v>
      </c>
      <c r="K27" s="10" t="s">
        <v>119</v>
      </c>
      <c r="L27" s="3"/>
      <c r="M27" s="3"/>
      <c r="N27" s="3"/>
      <c r="O27" s="3"/>
      <c r="P27" s="3"/>
      <c r="Q27" s="3"/>
      <c r="R27" s="3"/>
    </row>
    <row r="28" spans="1:18" ht="35.25" customHeight="1" x14ac:dyDescent="0.25">
      <c r="A28" s="3"/>
      <c r="B28" s="3"/>
      <c r="C28" s="3"/>
      <c r="D28" s="3"/>
      <c r="E28" s="3"/>
      <c r="F28" s="3"/>
      <c r="G28" s="3"/>
      <c r="H28" s="3"/>
      <c r="I28" s="3"/>
      <c r="J28" s="10" t="s">
        <v>120</v>
      </c>
      <c r="K28" s="10" t="s">
        <v>121</v>
      </c>
      <c r="L28" s="3"/>
      <c r="M28" s="3"/>
      <c r="N28" s="3"/>
      <c r="O28" s="3"/>
      <c r="P28" s="3"/>
      <c r="Q28" s="3"/>
      <c r="R28" s="3"/>
    </row>
    <row r="29" spans="1:18" ht="35.25" customHeight="1" x14ac:dyDescent="0.25">
      <c r="A29" s="3"/>
      <c r="B29" s="3"/>
      <c r="C29" s="3"/>
      <c r="D29" s="3"/>
      <c r="E29" s="3"/>
      <c r="F29" s="3"/>
      <c r="G29" s="3"/>
      <c r="H29" s="3"/>
      <c r="I29" s="3"/>
      <c r="J29" s="10" t="s">
        <v>122</v>
      </c>
      <c r="K29" s="10" t="s">
        <v>123</v>
      </c>
      <c r="L29" s="3"/>
      <c r="M29" s="3"/>
      <c r="N29" s="3"/>
      <c r="O29" s="3"/>
      <c r="P29" s="3"/>
      <c r="Q29" s="3"/>
      <c r="R29" s="3"/>
    </row>
    <row r="30" spans="1:18" ht="35.25" customHeight="1" x14ac:dyDescent="0.25">
      <c r="A30" s="3"/>
      <c r="B30" s="3"/>
      <c r="C30" s="3"/>
      <c r="D30" s="3"/>
      <c r="E30" s="3"/>
      <c r="F30" s="3"/>
      <c r="G30" s="3"/>
      <c r="H30" s="3"/>
      <c r="I30" s="3"/>
      <c r="J30" s="10" t="s">
        <v>124</v>
      </c>
      <c r="K30" s="10" t="s">
        <v>125</v>
      </c>
      <c r="L30" s="3"/>
      <c r="M30" s="3"/>
      <c r="N30" s="3"/>
      <c r="O30" s="3"/>
      <c r="P30" s="3"/>
      <c r="Q30" s="3"/>
      <c r="R30" s="3"/>
    </row>
    <row r="31" spans="1:18" ht="35.25" customHeight="1" x14ac:dyDescent="0.25">
      <c r="A31" s="3"/>
      <c r="B31" s="3"/>
      <c r="C31" s="3"/>
      <c r="D31" s="3"/>
      <c r="E31" s="3"/>
      <c r="F31" s="3"/>
      <c r="G31" s="3"/>
      <c r="H31" s="3"/>
      <c r="I31" s="3"/>
      <c r="J31" s="10" t="s">
        <v>126</v>
      </c>
      <c r="K31" s="10"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9" sqref="G9:AD9"/>
    </sheetView>
  </sheetViews>
  <sheetFormatPr defaultColWidth="2.85546875" defaultRowHeight="15" x14ac:dyDescent="0.25"/>
  <cols>
    <col min="1" max="32" width="3" style="1" customWidth="1"/>
    <col min="33" max="16384" width="2.85546875" style="1"/>
  </cols>
  <sheetData>
    <row r="1" spans="1:30" ht="30" customHeight="1" x14ac:dyDescent="0.25">
      <c r="A1" s="18" t="s">
        <v>208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45" customHeight="1" x14ac:dyDescent="0.25">
      <c r="A2" s="24" t="s">
        <v>128</v>
      </c>
      <c r="B2" s="24"/>
      <c r="C2" s="24"/>
      <c r="D2" s="24"/>
      <c r="E2" s="24"/>
      <c r="F2" s="24"/>
      <c r="G2" s="36" t="s">
        <v>209</v>
      </c>
      <c r="H2" s="36"/>
      <c r="I2" s="36"/>
      <c r="J2" s="36"/>
      <c r="K2" s="36"/>
      <c r="L2" s="36"/>
      <c r="M2" s="36"/>
      <c r="N2" s="36"/>
      <c r="O2" s="36"/>
      <c r="P2" s="36"/>
      <c r="Q2" s="36"/>
      <c r="R2" s="36"/>
      <c r="S2" s="36"/>
      <c r="T2" s="36"/>
      <c r="U2" s="36"/>
      <c r="V2" s="36"/>
      <c r="W2" s="36"/>
      <c r="X2" s="36"/>
      <c r="Y2" s="36"/>
      <c r="Z2" s="36"/>
      <c r="AA2" s="36"/>
      <c r="AB2" s="36"/>
      <c r="AC2" s="36"/>
      <c r="AD2" s="36"/>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21" t="s">
        <v>129</v>
      </c>
      <c r="B4" s="21"/>
      <c r="C4" s="21"/>
      <c r="D4" s="21"/>
      <c r="E4" s="21"/>
      <c r="F4" s="21"/>
      <c r="G4" s="31" t="s">
        <v>210</v>
      </c>
      <c r="H4" s="32"/>
      <c r="I4" s="32"/>
      <c r="J4" s="32"/>
      <c r="K4" s="32"/>
      <c r="L4" s="32"/>
      <c r="M4" s="32"/>
      <c r="N4" s="32"/>
      <c r="O4" s="32"/>
      <c r="P4" s="32"/>
      <c r="Q4" s="32"/>
      <c r="R4" s="32"/>
      <c r="S4" s="32"/>
      <c r="T4" s="32"/>
      <c r="U4" s="32"/>
      <c r="V4" s="32"/>
      <c r="W4" s="32"/>
      <c r="X4" s="32"/>
      <c r="Y4" s="32"/>
      <c r="Z4" s="32"/>
      <c r="AA4" s="32"/>
      <c r="AB4" s="32"/>
      <c r="AC4" s="32"/>
      <c r="AD4" s="32"/>
    </row>
    <row r="5" spans="1:30" x14ac:dyDescent="0.25">
      <c r="A5" s="25" t="s">
        <v>130</v>
      </c>
      <c r="B5" s="25"/>
      <c r="C5" s="25"/>
      <c r="D5" s="25"/>
      <c r="E5" s="25"/>
      <c r="F5" s="25"/>
      <c r="G5" s="28" t="s">
        <v>131</v>
      </c>
      <c r="H5" s="28"/>
      <c r="I5" s="28"/>
      <c r="J5" s="28"/>
      <c r="K5" s="28"/>
      <c r="L5" s="28"/>
      <c r="M5" s="28"/>
      <c r="N5" s="28"/>
      <c r="O5" s="28"/>
      <c r="P5" s="28"/>
      <c r="Q5" s="28"/>
      <c r="R5" s="28"/>
      <c r="S5" s="28"/>
      <c r="T5" s="28"/>
      <c r="U5" s="28"/>
      <c r="V5" s="28"/>
      <c r="W5" s="28"/>
      <c r="X5" s="28"/>
      <c r="Y5" s="28"/>
      <c r="Z5" s="28"/>
      <c r="AA5" s="28"/>
      <c r="AB5" s="28"/>
      <c r="AC5" s="28"/>
      <c r="AD5" s="28"/>
    </row>
    <row r="6" spans="1:30" x14ac:dyDescent="0.25">
      <c r="A6" s="25" t="s">
        <v>132</v>
      </c>
      <c r="B6" s="25"/>
      <c r="C6" s="25"/>
      <c r="D6" s="25"/>
      <c r="E6" s="25"/>
      <c r="F6" s="25"/>
      <c r="G6" s="29" t="s">
        <v>211</v>
      </c>
      <c r="H6" s="30"/>
      <c r="I6" s="30"/>
      <c r="J6" s="30"/>
      <c r="K6" s="30"/>
      <c r="L6" s="30"/>
      <c r="M6" s="30"/>
      <c r="N6" s="30"/>
      <c r="O6" s="30"/>
      <c r="P6" s="30"/>
      <c r="Q6" s="30"/>
      <c r="R6" s="30"/>
      <c r="S6" s="30"/>
      <c r="T6" s="30"/>
      <c r="U6" s="30"/>
      <c r="V6" s="30"/>
      <c r="W6" s="30"/>
      <c r="X6" s="30"/>
      <c r="Y6" s="30"/>
      <c r="Z6" s="30"/>
      <c r="AA6" s="30"/>
      <c r="AB6" s="30"/>
      <c r="AC6" s="30"/>
      <c r="AD6" s="30"/>
    </row>
    <row r="7" spans="1:30" x14ac:dyDescent="0.25">
      <c r="A7" s="22" t="s">
        <v>133</v>
      </c>
      <c r="B7" s="22"/>
      <c r="C7" s="22"/>
      <c r="D7" s="22"/>
      <c r="E7" s="22"/>
      <c r="F7" s="22"/>
      <c r="G7" s="27" t="s">
        <v>134</v>
      </c>
      <c r="H7" s="27"/>
      <c r="I7" s="27"/>
      <c r="J7" s="27"/>
      <c r="K7" s="27"/>
      <c r="L7" s="27"/>
      <c r="M7" s="27"/>
      <c r="N7" s="27"/>
      <c r="O7" s="27"/>
      <c r="P7" s="27"/>
      <c r="Q7" s="27"/>
      <c r="R7" s="27"/>
      <c r="S7" s="27"/>
      <c r="T7" s="27"/>
      <c r="U7" s="27"/>
      <c r="V7" s="27"/>
      <c r="W7" s="27"/>
      <c r="X7" s="27"/>
      <c r="Y7" s="27"/>
      <c r="Z7" s="27"/>
      <c r="AA7" s="27"/>
      <c r="AB7" s="27"/>
      <c r="AC7" s="27"/>
      <c r="AD7" s="27"/>
    </row>
    <row r="8" spans="1:30" x14ac:dyDescent="0.25">
      <c r="A8" s="22" t="s">
        <v>135</v>
      </c>
      <c r="B8" s="22"/>
      <c r="C8" s="22"/>
      <c r="D8" s="22"/>
      <c r="E8" s="22"/>
      <c r="F8" s="22"/>
      <c r="G8" s="33" t="s">
        <v>212</v>
      </c>
      <c r="H8" s="34"/>
      <c r="I8" s="34"/>
      <c r="J8" s="34"/>
      <c r="K8" s="34"/>
      <c r="L8" s="34"/>
      <c r="M8" s="34"/>
      <c r="N8" s="34"/>
      <c r="O8" s="34"/>
      <c r="P8" s="34"/>
      <c r="Q8" s="34"/>
      <c r="R8" s="34"/>
      <c r="S8" s="34"/>
      <c r="T8" s="34"/>
      <c r="U8" s="34"/>
      <c r="V8" s="34"/>
      <c r="W8" s="34"/>
      <c r="X8" s="34"/>
      <c r="Y8" s="34"/>
      <c r="Z8" s="34"/>
      <c r="AA8" s="34"/>
      <c r="AB8" s="34"/>
      <c r="AC8" s="34"/>
      <c r="AD8" s="34"/>
    </row>
    <row r="9" spans="1:30" x14ac:dyDescent="0.25">
      <c r="A9" s="25" t="s">
        <v>136</v>
      </c>
      <c r="B9" s="25"/>
      <c r="C9" s="25"/>
      <c r="D9" s="25"/>
      <c r="E9" s="25"/>
      <c r="F9" s="25"/>
      <c r="G9" s="26" t="s">
        <v>241</v>
      </c>
      <c r="H9" s="27"/>
      <c r="I9" s="27"/>
      <c r="J9" s="27"/>
      <c r="K9" s="27"/>
      <c r="L9" s="27"/>
      <c r="M9" s="27"/>
      <c r="N9" s="27"/>
      <c r="O9" s="27"/>
      <c r="P9" s="27"/>
      <c r="Q9" s="27"/>
      <c r="R9" s="27"/>
      <c r="S9" s="27"/>
      <c r="T9" s="27"/>
      <c r="U9" s="27"/>
      <c r="V9" s="27"/>
      <c r="W9" s="27"/>
      <c r="X9" s="27"/>
      <c r="Y9" s="27"/>
      <c r="Z9" s="27"/>
      <c r="AA9" s="27"/>
      <c r="AB9" s="27"/>
      <c r="AC9" s="27"/>
      <c r="AD9" s="27"/>
    </row>
    <row r="10" spans="1:30" x14ac:dyDescent="0.25">
      <c r="A10" s="19" t="s">
        <v>137</v>
      </c>
      <c r="B10" s="22" t="s">
        <v>138</v>
      </c>
      <c r="C10" s="22"/>
      <c r="D10" s="22"/>
      <c r="E10" s="22"/>
      <c r="F10" s="22"/>
      <c r="G10" s="33" t="s">
        <v>237</v>
      </c>
      <c r="H10" s="34"/>
      <c r="I10" s="34"/>
      <c r="J10" s="34"/>
      <c r="K10" s="34"/>
      <c r="L10" s="34"/>
      <c r="M10" s="34"/>
      <c r="N10" s="34"/>
      <c r="O10" s="34"/>
      <c r="P10" s="34"/>
      <c r="Q10" s="34"/>
      <c r="R10" s="34"/>
      <c r="S10" s="34"/>
      <c r="T10" s="34"/>
      <c r="U10" s="34"/>
      <c r="V10" s="34"/>
      <c r="W10" s="34"/>
      <c r="X10" s="34"/>
      <c r="Y10" s="34"/>
      <c r="Z10" s="34"/>
      <c r="AA10" s="34"/>
      <c r="AB10" s="34"/>
      <c r="AC10" s="34"/>
      <c r="AD10" s="34"/>
    </row>
    <row r="11" spans="1:30" x14ac:dyDescent="0.25">
      <c r="A11" s="19"/>
      <c r="B11" s="22" t="s">
        <v>139</v>
      </c>
      <c r="C11" s="22"/>
      <c r="D11" s="22"/>
      <c r="E11" s="22"/>
      <c r="F11" s="22"/>
      <c r="G11" s="26" t="s">
        <v>238</v>
      </c>
      <c r="H11" s="27"/>
      <c r="I11" s="27"/>
      <c r="J11" s="27"/>
      <c r="K11" s="27"/>
      <c r="L11" s="27"/>
      <c r="M11" s="27"/>
      <c r="N11" s="27"/>
      <c r="O11" s="27"/>
      <c r="P11" s="27"/>
      <c r="Q11" s="27"/>
      <c r="R11" s="27"/>
      <c r="S11" s="27"/>
      <c r="T11" s="27"/>
      <c r="U11" s="27"/>
      <c r="V11" s="27"/>
      <c r="W11" s="27"/>
      <c r="X11" s="27"/>
      <c r="Y11" s="27"/>
      <c r="Z11" s="27"/>
      <c r="AA11" s="27"/>
      <c r="AB11" s="27"/>
      <c r="AC11" s="27"/>
      <c r="AD11" s="27"/>
    </row>
    <row r="12" spans="1:30" x14ac:dyDescent="0.25">
      <c r="A12" s="19"/>
      <c r="B12" s="22" t="s">
        <v>140</v>
      </c>
      <c r="C12" s="22"/>
      <c r="D12" s="22"/>
      <c r="E12" s="22"/>
      <c r="F12" s="22"/>
      <c r="G12" s="34" t="s">
        <v>141</v>
      </c>
      <c r="H12" s="34"/>
      <c r="I12" s="34"/>
      <c r="J12" s="34"/>
      <c r="K12" s="34"/>
      <c r="L12" s="34"/>
      <c r="M12" s="34"/>
      <c r="N12" s="34"/>
      <c r="O12" s="34"/>
      <c r="P12" s="34"/>
      <c r="Q12" s="34"/>
      <c r="R12" s="34"/>
      <c r="S12" s="34"/>
      <c r="T12" s="34"/>
      <c r="U12" s="34"/>
      <c r="V12" s="34"/>
      <c r="W12" s="34"/>
      <c r="X12" s="34"/>
      <c r="Y12" s="34"/>
      <c r="Z12" s="34"/>
      <c r="AA12" s="34"/>
      <c r="AB12" s="34"/>
      <c r="AC12" s="34"/>
      <c r="AD12" s="34"/>
    </row>
    <row r="13" spans="1:30" x14ac:dyDescent="0.25">
      <c r="A13" s="20"/>
      <c r="B13" s="23" t="s">
        <v>142</v>
      </c>
      <c r="C13" s="23"/>
      <c r="D13" s="23"/>
      <c r="E13" s="23"/>
      <c r="F13" s="23"/>
      <c r="G13" s="35" t="s">
        <v>143</v>
      </c>
      <c r="H13" s="35"/>
      <c r="I13" s="35"/>
      <c r="J13" s="35"/>
      <c r="K13" s="35"/>
      <c r="L13" s="35"/>
      <c r="M13" s="35"/>
      <c r="N13" s="35"/>
      <c r="O13" s="35"/>
      <c r="P13" s="35"/>
      <c r="Q13" s="35"/>
      <c r="R13" s="35"/>
      <c r="S13" s="35"/>
      <c r="T13" s="35"/>
      <c r="U13" s="35"/>
      <c r="V13" s="35"/>
      <c r="W13" s="35"/>
      <c r="X13" s="35"/>
      <c r="Y13" s="35"/>
      <c r="Z13" s="35"/>
      <c r="AA13" s="35"/>
      <c r="AB13" s="35"/>
      <c r="AC13" s="35"/>
      <c r="AD13" s="35"/>
    </row>
    <row r="15" spans="1:30" ht="139.5" customHeight="1" x14ac:dyDescent="0.25">
      <c r="A15" s="65" t="s">
        <v>144</v>
      </c>
      <c r="B15" s="66"/>
      <c r="C15" s="66"/>
      <c r="D15" s="66"/>
      <c r="E15" s="66"/>
      <c r="F15" s="67"/>
      <c r="G15" s="62" t="s">
        <v>236</v>
      </c>
      <c r="H15" s="63"/>
      <c r="I15" s="63"/>
      <c r="J15" s="63"/>
      <c r="K15" s="63"/>
      <c r="L15" s="63"/>
      <c r="M15" s="63"/>
      <c r="N15" s="63"/>
      <c r="O15" s="63"/>
      <c r="P15" s="63"/>
      <c r="Q15" s="63"/>
      <c r="R15" s="63"/>
      <c r="S15" s="63"/>
      <c r="T15" s="63"/>
      <c r="U15" s="63"/>
      <c r="V15" s="63"/>
      <c r="W15" s="63"/>
      <c r="X15" s="63"/>
      <c r="Y15" s="63"/>
      <c r="Z15" s="63"/>
      <c r="AA15" s="63"/>
      <c r="AB15" s="63"/>
      <c r="AC15" s="63"/>
      <c r="AD15" s="64"/>
    </row>
    <row r="17" spans="1:30" x14ac:dyDescent="0.25">
      <c r="A17" s="51" t="s">
        <v>145</v>
      </c>
      <c r="B17" s="51"/>
      <c r="C17" s="51"/>
      <c r="D17" s="51"/>
      <c r="E17" s="51"/>
      <c r="F17" s="51"/>
      <c r="G17" s="40" t="s">
        <v>146</v>
      </c>
      <c r="H17" s="40"/>
      <c r="I17" s="40"/>
      <c r="J17" s="40"/>
      <c r="K17" s="40"/>
      <c r="L17" s="40"/>
      <c r="M17" s="40"/>
      <c r="N17" s="40"/>
      <c r="O17" s="40"/>
      <c r="P17" s="40"/>
      <c r="Q17" s="40"/>
      <c r="R17" s="40"/>
      <c r="S17" s="40"/>
      <c r="T17" s="40"/>
      <c r="U17" s="40"/>
      <c r="V17" s="40"/>
      <c r="W17" s="40"/>
      <c r="X17" s="40"/>
      <c r="Y17" s="40"/>
      <c r="Z17" s="40"/>
      <c r="AA17" s="40"/>
      <c r="AB17" s="40"/>
      <c r="AC17" s="40"/>
      <c r="AD17" s="40"/>
    </row>
    <row r="18" spans="1:30" ht="37.5" customHeight="1" x14ac:dyDescent="0.25">
      <c r="A18" s="68" t="s">
        <v>147</v>
      </c>
      <c r="B18" s="68"/>
      <c r="C18" s="68"/>
      <c r="D18" s="68"/>
      <c r="E18" s="68"/>
      <c r="F18" s="68"/>
      <c r="G18" s="44" t="s">
        <v>213</v>
      </c>
      <c r="H18" s="45"/>
      <c r="I18" s="45"/>
      <c r="J18" s="45"/>
      <c r="K18" s="45"/>
      <c r="L18" s="45"/>
      <c r="M18" s="45"/>
      <c r="N18" s="45"/>
      <c r="O18" s="45"/>
      <c r="P18" s="45"/>
      <c r="Q18" s="45"/>
      <c r="R18" s="45"/>
      <c r="S18" s="45"/>
      <c r="T18" s="45"/>
      <c r="U18" s="45"/>
      <c r="V18" s="45"/>
      <c r="W18" s="45"/>
      <c r="X18" s="45"/>
      <c r="Y18" s="45"/>
      <c r="Z18" s="45"/>
      <c r="AA18" s="45"/>
      <c r="AB18" s="45"/>
      <c r="AC18" s="45"/>
      <c r="AD18" s="45"/>
    </row>
    <row r="19" spans="1:30" x14ac:dyDescent="0.25">
      <c r="A19" s="25" t="s">
        <v>148</v>
      </c>
      <c r="B19" s="25"/>
      <c r="C19" s="25"/>
      <c r="D19" s="25"/>
      <c r="E19" s="25"/>
      <c r="F19" s="25"/>
      <c r="G19" s="46" t="s">
        <v>149</v>
      </c>
      <c r="H19" s="46"/>
      <c r="I19" s="46"/>
      <c r="J19" s="46"/>
      <c r="K19" s="46"/>
      <c r="L19" s="46"/>
      <c r="M19" s="46"/>
      <c r="N19" s="46"/>
      <c r="O19" s="46"/>
      <c r="P19" s="46"/>
      <c r="Q19" s="46"/>
      <c r="R19" s="46"/>
      <c r="S19" s="46"/>
      <c r="T19" s="46"/>
      <c r="U19" s="46"/>
      <c r="V19" s="46"/>
      <c r="W19" s="46"/>
      <c r="X19" s="46"/>
      <c r="Y19" s="46"/>
      <c r="Z19" s="46"/>
      <c r="AA19" s="46"/>
      <c r="AB19" s="46"/>
      <c r="AC19" s="46"/>
      <c r="AD19" s="46"/>
    </row>
    <row r="20" spans="1:30" x14ac:dyDescent="0.25">
      <c r="A20" s="25" t="s">
        <v>150</v>
      </c>
      <c r="B20" s="25"/>
      <c r="C20" s="25"/>
      <c r="D20" s="25"/>
      <c r="E20" s="25"/>
      <c r="F20" s="25"/>
      <c r="G20" s="45" t="s">
        <v>151</v>
      </c>
      <c r="H20" s="45"/>
      <c r="I20" s="45"/>
      <c r="J20" s="45"/>
      <c r="K20" s="45"/>
      <c r="L20" s="45"/>
      <c r="M20" s="45"/>
      <c r="N20" s="45"/>
      <c r="O20" s="45"/>
      <c r="P20" s="45"/>
      <c r="Q20" s="45"/>
      <c r="R20" s="45"/>
      <c r="S20" s="45"/>
      <c r="T20" s="45"/>
      <c r="U20" s="45"/>
      <c r="V20" s="45"/>
      <c r="W20" s="45"/>
      <c r="X20" s="45"/>
      <c r="Y20" s="45"/>
      <c r="Z20" s="45"/>
      <c r="AA20" s="45"/>
      <c r="AB20" s="45"/>
      <c r="AC20" s="45"/>
      <c r="AD20" s="45"/>
    </row>
    <row r="21" spans="1:30" x14ac:dyDescent="0.25">
      <c r="A21" s="25" t="s">
        <v>152</v>
      </c>
      <c r="B21" s="25"/>
      <c r="C21" s="25"/>
      <c r="D21" s="25"/>
      <c r="E21" s="25"/>
      <c r="F21" s="25"/>
      <c r="G21" s="47" t="s">
        <v>203</v>
      </c>
      <c r="H21" s="46"/>
      <c r="I21" s="46"/>
      <c r="J21" s="46"/>
      <c r="K21" s="46"/>
      <c r="L21" s="46"/>
      <c r="M21" s="46"/>
      <c r="N21" s="46"/>
      <c r="O21" s="46"/>
      <c r="P21" s="46"/>
      <c r="Q21" s="46"/>
      <c r="R21" s="46"/>
      <c r="S21" s="46"/>
      <c r="T21" s="46"/>
      <c r="U21" s="46"/>
      <c r="V21" s="46"/>
      <c r="W21" s="46"/>
      <c r="X21" s="46"/>
      <c r="Y21" s="46"/>
      <c r="Z21" s="46"/>
      <c r="AA21" s="46"/>
      <c r="AB21" s="46"/>
      <c r="AC21" s="46"/>
      <c r="AD21" s="46"/>
    </row>
    <row r="22" spans="1:30" ht="15" customHeight="1" x14ac:dyDescent="0.25">
      <c r="A22" s="69" t="s">
        <v>153</v>
      </c>
      <c r="B22" s="71" t="s">
        <v>154</v>
      </c>
      <c r="C22" s="71"/>
      <c r="D22" s="71"/>
      <c r="E22" s="71"/>
      <c r="F22" s="72"/>
      <c r="G22" s="41" t="str">
        <f>IF(COUNTIF($Z$36:$Z$40,"Create")&gt;0,"Create",IF(COUNTIF($Z$36:$Z$40,"Evaluate")&gt;0,"Evaluate",IF(COUNTIF($Z$36:$Z$40,"Analyze")&gt;0,"Analyze",IF(COUNTIF($Z$36:$Z$40,"Apply")&gt;0,"Apply",IF(COUNTIF($Z$36:$Z$40,"Understand")&gt;0,"Understand",IF(COUNTIF($Z$36:$Z$40,"Remember")&gt;0,"Remember",""))))))</f>
        <v>Analyze</v>
      </c>
      <c r="H22" s="42"/>
      <c r="I22" s="42"/>
      <c r="J22" s="42"/>
      <c r="K22" s="42"/>
      <c r="L22" s="7"/>
      <c r="M22" s="7"/>
      <c r="N22" s="7"/>
      <c r="O22" s="7"/>
      <c r="P22" s="7"/>
      <c r="Q22" s="7"/>
      <c r="R22" s="7"/>
      <c r="S22" s="7"/>
      <c r="T22" s="7"/>
      <c r="U22" s="7"/>
      <c r="V22" s="7"/>
      <c r="W22" s="7"/>
      <c r="X22" s="7"/>
      <c r="Y22" s="7"/>
      <c r="Z22" s="7"/>
      <c r="AA22" s="7"/>
      <c r="AB22" s="7"/>
      <c r="AC22" s="7"/>
      <c r="AD22" s="8"/>
    </row>
    <row r="23" spans="1:30" ht="81" customHeight="1" x14ac:dyDescent="0.25">
      <c r="A23" s="70"/>
      <c r="B23" s="73" t="s">
        <v>155</v>
      </c>
      <c r="C23" s="73"/>
      <c r="D23" s="73"/>
      <c r="E23" s="73"/>
      <c r="F23" s="74"/>
      <c r="G23" s="48" t="s">
        <v>216</v>
      </c>
      <c r="H23" s="49"/>
      <c r="I23" s="49"/>
      <c r="J23" s="49"/>
      <c r="K23" s="49"/>
      <c r="L23" s="49"/>
      <c r="M23" s="49"/>
      <c r="N23" s="49"/>
      <c r="O23" s="49"/>
      <c r="P23" s="49"/>
      <c r="Q23" s="49"/>
      <c r="R23" s="49"/>
      <c r="S23" s="49"/>
      <c r="T23" s="49"/>
      <c r="U23" s="49"/>
      <c r="V23" s="49"/>
      <c r="W23" s="49"/>
      <c r="X23" s="49"/>
      <c r="Y23" s="49"/>
      <c r="Z23" s="49"/>
      <c r="AA23" s="49"/>
      <c r="AB23" s="49"/>
      <c r="AC23" s="49"/>
      <c r="AD23" s="50"/>
    </row>
    <row r="25" spans="1:30" ht="138.75" customHeight="1" x14ac:dyDescent="0.25">
      <c r="A25" s="24" t="s">
        <v>156</v>
      </c>
      <c r="B25" s="24"/>
      <c r="C25" s="24"/>
      <c r="D25" s="24"/>
      <c r="E25" s="24"/>
      <c r="F25" s="24"/>
      <c r="G25" s="36" t="s">
        <v>217</v>
      </c>
      <c r="H25" s="43"/>
      <c r="I25" s="43"/>
      <c r="J25" s="43"/>
      <c r="K25" s="43"/>
      <c r="L25" s="43"/>
      <c r="M25" s="43"/>
      <c r="N25" s="43"/>
      <c r="O25" s="43"/>
      <c r="P25" s="43"/>
      <c r="Q25" s="43"/>
      <c r="R25" s="43"/>
      <c r="S25" s="43"/>
      <c r="T25" s="43"/>
      <c r="U25" s="43"/>
      <c r="V25" s="43"/>
      <c r="W25" s="43"/>
      <c r="X25" s="43"/>
      <c r="Y25" s="43"/>
      <c r="Z25" s="43"/>
      <c r="AA25" s="43"/>
      <c r="AB25" s="43"/>
      <c r="AC25" s="43"/>
      <c r="AD25" s="43"/>
    </row>
    <row r="27" spans="1:30" x14ac:dyDescent="0.25">
      <c r="A27" s="37" t="s">
        <v>157</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9"/>
    </row>
    <row r="28" spans="1:30" ht="33.75" customHeight="1" x14ac:dyDescent="0.25">
      <c r="A28" s="78" t="s">
        <v>20</v>
      </c>
      <c r="B28" s="79"/>
      <c r="C28" s="79"/>
      <c r="D28" s="79"/>
      <c r="E28" s="79"/>
      <c r="F28" s="79"/>
      <c r="G28" s="80" t="s">
        <v>214</v>
      </c>
      <c r="H28" s="81"/>
      <c r="I28" s="81"/>
      <c r="J28" s="81"/>
      <c r="K28" s="81"/>
      <c r="L28" s="81"/>
      <c r="M28" s="81"/>
      <c r="N28" s="81"/>
      <c r="O28" s="81"/>
      <c r="P28" s="81"/>
      <c r="Q28" s="81"/>
      <c r="R28" s="81"/>
      <c r="S28" s="81"/>
      <c r="T28" s="81"/>
      <c r="U28" s="81"/>
      <c r="V28" s="81"/>
      <c r="W28" s="81"/>
      <c r="X28" s="81"/>
      <c r="Y28" s="81"/>
      <c r="Z28" s="81"/>
      <c r="AA28" s="81"/>
      <c r="AB28" s="81"/>
      <c r="AC28" s="81"/>
      <c r="AD28" s="82"/>
    </row>
    <row r="29" spans="1:30" ht="33.75" customHeight="1" x14ac:dyDescent="0.25">
      <c r="A29" s="52" t="s">
        <v>31</v>
      </c>
      <c r="B29" s="53"/>
      <c r="C29" s="53"/>
      <c r="D29" s="53"/>
      <c r="E29" s="53"/>
      <c r="F29" s="53"/>
      <c r="G29" s="75" t="s">
        <v>215</v>
      </c>
      <c r="H29" s="76"/>
      <c r="I29" s="76"/>
      <c r="J29" s="76"/>
      <c r="K29" s="76"/>
      <c r="L29" s="76"/>
      <c r="M29" s="76"/>
      <c r="N29" s="76"/>
      <c r="O29" s="76"/>
      <c r="P29" s="76"/>
      <c r="Q29" s="76"/>
      <c r="R29" s="76"/>
      <c r="S29" s="76"/>
      <c r="T29" s="76"/>
      <c r="U29" s="76"/>
      <c r="V29" s="76"/>
      <c r="W29" s="76"/>
      <c r="X29" s="76"/>
      <c r="Y29" s="76"/>
      <c r="Z29" s="76"/>
      <c r="AA29" s="76"/>
      <c r="AB29" s="76"/>
      <c r="AC29" s="76"/>
      <c r="AD29" s="77"/>
    </row>
    <row r="30" spans="1:30" ht="15" customHeight="1" x14ac:dyDescent="0.25">
      <c r="A30" s="52" t="s">
        <v>42</v>
      </c>
      <c r="B30" s="53"/>
      <c r="C30" s="53"/>
      <c r="D30" s="53"/>
      <c r="E30" s="53"/>
      <c r="F30" s="53"/>
      <c r="G30" s="54"/>
      <c r="H30" s="55"/>
      <c r="I30" s="55"/>
      <c r="J30" s="55"/>
      <c r="K30" s="55"/>
      <c r="L30" s="55"/>
      <c r="M30" s="55"/>
      <c r="N30" s="55"/>
      <c r="O30" s="55"/>
      <c r="P30" s="55"/>
      <c r="Q30" s="55"/>
      <c r="R30" s="55"/>
      <c r="S30" s="55"/>
      <c r="T30" s="55"/>
      <c r="U30" s="55"/>
      <c r="V30" s="55"/>
      <c r="W30" s="55"/>
      <c r="X30" s="55"/>
      <c r="Y30" s="55"/>
      <c r="Z30" s="55"/>
      <c r="AA30" s="55"/>
      <c r="AB30" s="55"/>
      <c r="AC30" s="55"/>
      <c r="AD30" s="56"/>
    </row>
    <row r="31" spans="1:30" ht="15" customHeight="1" x14ac:dyDescent="0.25">
      <c r="A31" s="52" t="s">
        <v>53</v>
      </c>
      <c r="B31" s="53"/>
      <c r="C31" s="53"/>
      <c r="D31" s="53"/>
      <c r="E31" s="53"/>
      <c r="F31" s="53"/>
      <c r="G31" s="75"/>
      <c r="H31" s="76"/>
      <c r="I31" s="76"/>
      <c r="J31" s="76"/>
      <c r="K31" s="76"/>
      <c r="L31" s="76"/>
      <c r="M31" s="76"/>
      <c r="N31" s="76"/>
      <c r="O31" s="76"/>
      <c r="P31" s="76"/>
      <c r="Q31" s="76"/>
      <c r="R31" s="76"/>
      <c r="S31" s="76"/>
      <c r="T31" s="76"/>
      <c r="U31" s="76"/>
      <c r="V31" s="76"/>
      <c r="W31" s="76"/>
      <c r="X31" s="76"/>
      <c r="Y31" s="76"/>
      <c r="Z31" s="76"/>
      <c r="AA31" s="76"/>
      <c r="AB31" s="76"/>
      <c r="AC31" s="76"/>
      <c r="AD31" s="77"/>
    </row>
    <row r="32" spans="1:30" ht="15" customHeight="1" x14ac:dyDescent="0.25">
      <c r="A32" s="57" t="s">
        <v>64</v>
      </c>
      <c r="B32" s="58"/>
      <c r="C32" s="58"/>
      <c r="D32" s="58"/>
      <c r="E32" s="58"/>
      <c r="F32" s="58"/>
      <c r="G32" s="59"/>
      <c r="H32" s="60"/>
      <c r="I32" s="60"/>
      <c r="J32" s="60"/>
      <c r="K32" s="60"/>
      <c r="L32" s="60"/>
      <c r="M32" s="60"/>
      <c r="N32" s="60"/>
      <c r="O32" s="60"/>
      <c r="P32" s="60"/>
      <c r="Q32" s="60"/>
      <c r="R32" s="60"/>
      <c r="S32" s="60"/>
      <c r="T32" s="60"/>
      <c r="U32" s="60"/>
      <c r="V32" s="60"/>
      <c r="W32" s="60"/>
      <c r="X32" s="60"/>
      <c r="Y32" s="60"/>
      <c r="Z32" s="60"/>
      <c r="AA32" s="60"/>
      <c r="AB32" s="60"/>
      <c r="AC32" s="60"/>
      <c r="AD32" s="61"/>
    </row>
    <row r="34" spans="1:30" x14ac:dyDescent="0.25">
      <c r="A34" s="37" t="s">
        <v>158</v>
      </c>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9"/>
    </row>
    <row r="35" spans="1:30" x14ac:dyDescent="0.25">
      <c r="A35" s="90" t="s">
        <v>159</v>
      </c>
      <c r="B35" s="86"/>
      <c r="C35" s="86"/>
      <c r="D35" s="86" t="s">
        <v>160</v>
      </c>
      <c r="E35" s="86"/>
      <c r="F35" s="86"/>
      <c r="G35" s="86"/>
      <c r="H35" s="86" t="s">
        <v>161</v>
      </c>
      <c r="I35" s="86"/>
      <c r="J35" s="86"/>
      <c r="K35" s="86"/>
      <c r="L35" s="86"/>
      <c r="M35" s="86"/>
      <c r="N35" s="86" t="s">
        <v>162</v>
      </c>
      <c r="O35" s="86"/>
      <c r="P35" s="86"/>
      <c r="Q35" s="86"/>
      <c r="R35" s="86"/>
      <c r="S35" s="86"/>
      <c r="T35" s="86" t="s">
        <v>163</v>
      </c>
      <c r="U35" s="86"/>
      <c r="V35" s="86"/>
      <c r="W35" s="86"/>
      <c r="X35" s="86"/>
      <c r="Y35" s="86"/>
      <c r="Z35" s="86" t="s">
        <v>164</v>
      </c>
      <c r="AA35" s="86"/>
      <c r="AB35" s="86"/>
      <c r="AC35" s="86"/>
      <c r="AD35" s="87"/>
    </row>
    <row r="36" spans="1:30" x14ac:dyDescent="0.25">
      <c r="A36" s="88" t="s">
        <v>23</v>
      </c>
      <c r="B36" s="83"/>
      <c r="C36" s="83"/>
      <c r="D36" s="83" t="s">
        <v>20</v>
      </c>
      <c r="E36" s="83"/>
      <c r="F36" s="83"/>
      <c r="G36" s="83"/>
      <c r="H36" s="89" t="s">
        <v>70</v>
      </c>
      <c r="I36" s="83"/>
      <c r="J36" s="83"/>
      <c r="K36" s="83"/>
      <c r="L36" s="83"/>
      <c r="M36" s="83"/>
      <c r="N36" s="83" t="s">
        <v>26</v>
      </c>
      <c r="O36" s="83"/>
      <c r="P36" s="83"/>
      <c r="Q36" s="83"/>
      <c r="R36" s="83"/>
      <c r="S36" s="83"/>
      <c r="T36" s="83" t="s">
        <v>29</v>
      </c>
      <c r="U36" s="83"/>
      <c r="V36" s="83"/>
      <c r="W36" s="83"/>
      <c r="X36" s="83"/>
      <c r="Y36" s="83"/>
      <c r="Z36" s="83" t="s">
        <v>24</v>
      </c>
      <c r="AA36" s="84"/>
      <c r="AB36" s="84"/>
      <c r="AC36" s="84"/>
      <c r="AD36" s="85"/>
    </row>
    <row r="37" spans="1:30" x14ac:dyDescent="0.25">
      <c r="A37" s="94" t="s">
        <v>34</v>
      </c>
      <c r="B37" s="95"/>
      <c r="C37" s="95"/>
      <c r="D37" s="95" t="s">
        <v>31</v>
      </c>
      <c r="E37" s="95"/>
      <c r="F37" s="95"/>
      <c r="G37" s="95"/>
      <c r="H37" s="95" t="s">
        <v>70</v>
      </c>
      <c r="I37" s="95"/>
      <c r="J37" s="95"/>
      <c r="K37" s="95"/>
      <c r="L37" s="95"/>
      <c r="M37" s="95"/>
      <c r="N37" s="95" t="s">
        <v>26</v>
      </c>
      <c r="O37" s="95"/>
      <c r="P37" s="95"/>
      <c r="Q37" s="95"/>
      <c r="R37" s="95"/>
      <c r="S37" s="95"/>
      <c r="T37" s="95" t="s">
        <v>62</v>
      </c>
      <c r="U37" s="95"/>
      <c r="V37" s="95"/>
      <c r="W37" s="95"/>
      <c r="X37" s="95"/>
      <c r="Y37" s="95"/>
      <c r="Z37" s="95" t="s">
        <v>46</v>
      </c>
      <c r="AA37" s="96"/>
      <c r="AB37" s="96"/>
      <c r="AC37" s="96"/>
      <c r="AD37" s="97"/>
    </row>
    <row r="38" spans="1:30" x14ac:dyDescent="0.25">
      <c r="A38" s="98"/>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2"/>
      <c r="AB38" s="92"/>
      <c r="AC38" s="92"/>
      <c r="AD38" s="93"/>
    </row>
    <row r="39" spans="1:30" x14ac:dyDescent="0.25">
      <c r="A39" s="94"/>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6"/>
      <c r="AB39" s="96"/>
      <c r="AC39" s="96"/>
      <c r="AD39" s="97"/>
    </row>
    <row r="40" spans="1:30" x14ac:dyDescent="0.25">
      <c r="A40" s="102"/>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100"/>
      <c r="AB40" s="100"/>
      <c r="AC40" s="100"/>
      <c r="AD40" s="101"/>
    </row>
    <row r="42" spans="1:30" x14ac:dyDescent="0.25">
      <c r="A42" s="37" t="s">
        <v>165</v>
      </c>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9"/>
    </row>
    <row r="43" spans="1:30" ht="51" customHeight="1" x14ac:dyDescent="0.25">
      <c r="A43" s="103" t="s">
        <v>166</v>
      </c>
      <c r="B43" s="103"/>
      <c r="C43" s="103"/>
      <c r="D43" s="103"/>
      <c r="E43" s="103"/>
      <c r="F43" s="103"/>
      <c r="G43" s="105" t="s">
        <v>218</v>
      </c>
      <c r="H43" s="81"/>
      <c r="I43" s="81"/>
      <c r="J43" s="81"/>
      <c r="K43" s="81"/>
      <c r="L43" s="81"/>
      <c r="M43" s="81"/>
      <c r="N43" s="81"/>
      <c r="O43" s="81"/>
      <c r="P43" s="81"/>
      <c r="Q43" s="81"/>
      <c r="R43" s="81"/>
      <c r="S43" s="81"/>
      <c r="T43" s="81"/>
      <c r="U43" s="81"/>
      <c r="V43" s="81"/>
      <c r="W43" s="81"/>
      <c r="X43" s="81"/>
      <c r="Y43" s="81"/>
      <c r="Z43" s="81"/>
      <c r="AA43" s="81"/>
      <c r="AB43" s="81"/>
      <c r="AC43" s="81"/>
      <c r="AD43" s="82"/>
    </row>
    <row r="44" spans="1:30" ht="48.75" customHeight="1" x14ac:dyDescent="0.25">
      <c r="A44" s="68" t="s">
        <v>167</v>
      </c>
      <c r="B44" s="68"/>
      <c r="C44" s="68"/>
      <c r="D44" s="68"/>
      <c r="E44" s="68"/>
      <c r="F44" s="68"/>
      <c r="G44" s="106" t="s">
        <v>219</v>
      </c>
      <c r="H44" s="76"/>
      <c r="I44" s="76"/>
      <c r="J44" s="76"/>
      <c r="K44" s="76"/>
      <c r="L44" s="76"/>
      <c r="M44" s="76"/>
      <c r="N44" s="76"/>
      <c r="O44" s="76"/>
      <c r="P44" s="76"/>
      <c r="Q44" s="76"/>
      <c r="R44" s="76"/>
      <c r="S44" s="76"/>
      <c r="T44" s="76"/>
      <c r="U44" s="76"/>
      <c r="V44" s="76"/>
      <c r="W44" s="76"/>
      <c r="X44" s="76"/>
      <c r="Y44" s="76"/>
      <c r="Z44" s="76"/>
      <c r="AA44" s="76"/>
      <c r="AB44" s="76"/>
      <c r="AC44" s="76"/>
      <c r="AD44" s="77"/>
    </row>
    <row r="45" spans="1:30" ht="78.75" customHeight="1" x14ac:dyDescent="0.25">
      <c r="A45" s="68" t="s">
        <v>168</v>
      </c>
      <c r="B45" s="68"/>
      <c r="C45" s="68"/>
      <c r="D45" s="68"/>
      <c r="E45" s="68"/>
      <c r="F45" s="68"/>
      <c r="G45" s="107" t="s">
        <v>220</v>
      </c>
      <c r="H45" s="55"/>
      <c r="I45" s="55"/>
      <c r="J45" s="55"/>
      <c r="K45" s="55"/>
      <c r="L45" s="55"/>
      <c r="M45" s="55"/>
      <c r="N45" s="55"/>
      <c r="O45" s="55"/>
      <c r="P45" s="55"/>
      <c r="Q45" s="55"/>
      <c r="R45" s="55"/>
      <c r="S45" s="55"/>
      <c r="T45" s="55"/>
      <c r="U45" s="55"/>
      <c r="V45" s="55"/>
      <c r="W45" s="55"/>
      <c r="X45" s="55"/>
      <c r="Y45" s="55"/>
      <c r="Z45" s="55"/>
      <c r="AA45" s="55"/>
      <c r="AB45" s="55"/>
      <c r="AC45" s="55"/>
      <c r="AD45" s="56"/>
    </row>
    <row r="46" spans="1:30" ht="47.25" customHeight="1" x14ac:dyDescent="0.25">
      <c r="A46" s="104" t="s">
        <v>169</v>
      </c>
      <c r="B46" s="104"/>
      <c r="C46" s="104"/>
      <c r="D46" s="104"/>
      <c r="E46" s="104"/>
      <c r="F46" s="104"/>
      <c r="G46" s="108" t="s">
        <v>221</v>
      </c>
      <c r="H46" s="109"/>
      <c r="I46" s="109"/>
      <c r="J46" s="109"/>
      <c r="K46" s="109"/>
      <c r="L46" s="109"/>
      <c r="M46" s="109"/>
      <c r="N46" s="109"/>
      <c r="O46" s="109"/>
      <c r="P46" s="109"/>
      <c r="Q46" s="109"/>
      <c r="R46" s="109"/>
      <c r="S46" s="109"/>
      <c r="T46" s="109"/>
      <c r="U46" s="109"/>
      <c r="V46" s="109"/>
      <c r="W46" s="109"/>
      <c r="X46" s="109"/>
      <c r="Y46" s="109"/>
      <c r="Z46" s="109"/>
      <c r="AA46" s="109"/>
      <c r="AB46" s="109"/>
      <c r="AC46" s="109"/>
      <c r="AD46" s="110"/>
    </row>
    <row r="47" spans="1:30" ht="15" customHeight="1" x14ac:dyDescent="0.25"/>
    <row r="48" spans="1:30" x14ac:dyDescent="0.25">
      <c r="A48" s="37" t="s">
        <v>170</v>
      </c>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9"/>
    </row>
    <row r="49" spans="1:30" ht="49.5" customHeight="1" x14ac:dyDescent="0.25">
      <c r="A49" s="112" t="s">
        <v>166</v>
      </c>
      <c r="B49" s="112"/>
      <c r="C49" s="112"/>
      <c r="D49" s="112"/>
      <c r="E49" s="112"/>
      <c r="F49" s="112"/>
      <c r="G49" s="105" t="s">
        <v>222</v>
      </c>
      <c r="H49" s="81"/>
      <c r="I49" s="81"/>
      <c r="J49" s="81"/>
      <c r="K49" s="81"/>
      <c r="L49" s="81"/>
      <c r="M49" s="81"/>
      <c r="N49" s="81"/>
      <c r="O49" s="81"/>
      <c r="P49" s="81"/>
      <c r="Q49" s="81"/>
      <c r="R49" s="81"/>
      <c r="S49" s="81"/>
      <c r="T49" s="81"/>
      <c r="U49" s="81"/>
      <c r="V49" s="81"/>
      <c r="W49" s="81"/>
      <c r="X49" s="81"/>
      <c r="Y49" s="81"/>
      <c r="Z49" s="81"/>
      <c r="AA49" s="81"/>
      <c r="AB49" s="81"/>
      <c r="AC49" s="81"/>
      <c r="AD49" s="82"/>
    </row>
    <row r="50" spans="1:30" ht="64.5" customHeight="1" x14ac:dyDescent="0.25">
      <c r="A50" s="113" t="s">
        <v>171</v>
      </c>
      <c r="B50" s="113"/>
      <c r="C50" s="113"/>
      <c r="D50" s="113"/>
      <c r="E50" s="113"/>
      <c r="F50" s="113"/>
      <c r="G50" s="106" t="s">
        <v>223</v>
      </c>
      <c r="H50" s="76"/>
      <c r="I50" s="76"/>
      <c r="J50" s="76"/>
      <c r="K50" s="76"/>
      <c r="L50" s="76"/>
      <c r="M50" s="76"/>
      <c r="N50" s="76"/>
      <c r="O50" s="76"/>
      <c r="P50" s="76"/>
      <c r="Q50" s="76"/>
      <c r="R50" s="76"/>
      <c r="S50" s="76"/>
      <c r="T50" s="76"/>
      <c r="U50" s="76"/>
      <c r="V50" s="76"/>
      <c r="W50" s="76"/>
      <c r="X50" s="76"/>
      <c r="Y50" s="76"/>
      <c r="Z50" s="76"/>
      <c r="AA50" s="76"/>
      <c r="AB50" s="76"/>
      <c r="AC50" s="76"/>
      <c r="AD50" s="77"/>
    </row>
    <row r="51" spans="1:30" ht="62.25" customHeight="1" x14ac:dyDescent="0.25">
      <c r="A51" s="113" t="s">
        <v>172</v>
      </c>
      <c r="B51" s="113"/>
      <c r="C51" s="113"/>
      <c r="D51" s="113"/>
      <c r="E51" s="113"/>
      <c r="F51" s="113"/>
      <c r="G51" s="107" t="s">
        <v>224</v>
      </c>
      <c r="H51" s="55"/>
      <c r="I51" s="55"/>
      <c r="J51" s="55"/>
      <c r="K51" s="55"/>
      <c r="L51" s="55"/>
      <c r="M51" s="55"/>
      <c r="N51" s="55"/>
      <c r="O51" s="55"/>
      <c r="P51" s="55"/>
      <c r="Q51" s="55"/>
      <c r="R51" s="55"/>
      <c r="S51" s="55"/>
      <c r="T51" s="55"/>
      <c r="U51" s="55"/>
      <c r="V51" s="55"/>
      <c r="W51" s="55"/>
      <c r="X51" s="55"/>
      <c r="Y51" s="55"/>
      <c r="Z51" s="55"/>
      <c r="AA51" s="55"/>
      <c r="AB51" s="55"/>
      <c r="AC51" s="55"/>
      <c r="AD51" s="56"/>
    </row>
    <row r="52" spans="1:30" ht="38.25" customHeight="1" x14ac:dyDescent="0.25">
      <c r="A52" s="113" t="s">
        <v>173</v>
      </c>
      <c r="B52" s="113"/>
      <c r="C52" s="113"/>
      <c r="D52" s="113"/>
      <c r="E52" s="113"/>
      <c r="F52" s="113"/>
      <c r="G52" s="106" t="s">
        <v>225</v>
      </c>
      <c r="H52" s="76"/>
      <c r="I52" s="76"/>
      <c r="J52" s="76"/>
      <c r="K52" s="76"/>
      <c r="L52" s="76"/>
      <c r="M52" s="76"/>
      <c r="N52" s="76"/>
      <c r="O52" s="76"/>
      <c r="P52" s="76"/>
      <c r="Q52" s="76"/>
      <c r="R52" s="76"/>
      <c r="S52" s="76"/>
      <c r="T52" s="76"/>
      <c r="U52" s="76"/>
      <c r="V52" s="76"/>
      <c r="W52" s="76"/>
      <c r="X52" s="76"/>
      <c r="Y52" s="76"/>
      <c r="Z52" s="76"/>
      <c r="AA52" s="76"/>
      <c r="AB52" s="76"/>
      <c r="AC52" s="76"/>
      <c r="AD52" s="77"/>
    </row>
    <row r="53" spans="1:30" ht="75" customHeight="1" x14ac:dyDescent="0.25">
      <c r="A53" s="114" t="s">
        <v>174</v>
      </c>
      <c r="B53" s="114"/>
      <c r="C53" s="114"/>
      <c r="D53" s="114"/>
      <c r="E53" s="114"/>
      <c r="F53" s="114"/>
      <c r="G53" s="111" t="s">
        <v>226</v>
      </c>
      <c r="H53" s="60"/>
      <c r="I53" s="60"/>
      <c r="J53" s="60"/>
      <c r="K53" s="60"/>
      <c r="L53" s="60"/>
      <c r="M53" s="60"/>
      <c r="N53" s="60"/>
      <c r="O53" s="60"/>
      <c r="P53" s="60"/>
      <c r="Q53" s="60"/>
      <c r="R53" s="60"/>
      <c r="S53" s="60"/>
      <c r="T53" s="60"/>
      <c r="U53" s="60"/>
      <c r="V53" s="60"/>
      <c r="W53" s="60"/>
      <c r="X53" s="60"/>
      <c r="Y53" s="60"/>
      <c r="Z53" s="60"/>
      <c r="AA53" s="60"/>
      <c r="AB53" s="60"/>
      <c r="AC53" s="60"/>
      <c r="AD53" s="61"/>
    </row>
    <row r="54" spans="1:30" ht="75" customHeight="1" x14ac:dyDescent="0.25"/>
    <row r="55" spans="1:30" ht="75" customHeight="1" x14ac:dyDescent="0.25"/>
    <row r="56" spans="1:30" ht="75" customHeight="1" x14ac:dyDescent="0.25"/>
    <row r="57" spans="1:30" ht="75" customHeight="1" x14ac:dyDescent="0.25"/>
  </sheetData>
  <mergeCells count="111">
    <mergeCell ref="G50:AD50"/>
    <mergeCell ref="G51:AD51"/>
    <mergeCell ref="G52:AD52"/>
    <mergeCell ref="G53:AD53"/>
    <mergeCell ref="A49:F49"/>
    <mergeCell ref="A50:F50"/>
    <mergeCell ref="A51:F51"/>
    <mergeCell ref="A52:F52"/>
    <mergeCell ref="A53:F53"/>
    <mergeCell ref="G49:AD49"/>
    <mergeCell ref="A42:AD42"/>
    <mergeCell ref="A48:AD48"/>
    <mergeCell ref="A43:F43"/>
    <mergeCell ref="A44:F44"/>
    <mergeCell ref="A45:F45"/>
    <mergeCell ref="A46:F46"/>
    <mergeCell ref="G43:AD43"/>
    <mergeCell ref="G44:AD44"/>
    <mergeCell ref="G45:AD45"/>
    <mergeCell ref="G46:AD46"/>
    <mergeCell ref="Z40:AD40"/>
    <mergeCell ref="A39:C39"/>
    <mergeCell ref="D39:G39"/>
    <mergeCell ref="H39:M39"/>
    <mergeCell ref="N39:S39"/>
    <mergeCell ref="T39:Y39"/>
    <mergeCell ref="Z39:AD39"/>
    <mergeCell ref="A40:C40"/>
    <mergeCell ref="D40:G40"/>
    <mergeCell ref="H40:M40"/>
    <mergeCell ref="N40:S40"/>
    <mergeCell ref="T40:Y40"/>
    <mergeCell ref="Z38:AD38"/>
    <mergeCell ref="A37:C37"/>
    <mergeCell ref="D37:G37"/>
    <mergeCell ref="H37:M37"/>
    <mergeCell ref="N37:S37"/>
    <mergeCell ref="T37:Y37"/>
    <mergeCell ref="Z37:AD37"/>
    <mergeCell ref="A38:C38"/>
    <mergeCell ref="D38:G38"/>
    <mergeCell ref="H38:M38"/>
    <mergeCell ref="N38:S38"/>
    <mergeCell ref="T38:Y38"/>
    <mergeCell ref="Z36:AD36"/>
    <mergeCell ref="H35:M35"/>
    <mergeCell ref="N35:S35"/>
    <mergeCell ref="T35:Y35"/>
    <mergeCell ref="Z35:AD35"/>
    <mergeCell ref="A36:C36"/>
    <mergeCell ref="D36:G36"/>
    <mergeCell ref="H36:M36"/>
    <mergeCell ref="N36:S36"/>
    <mergeCell ref="T36:Y36"/>
    <mergeCell ref="A35:C35"/>
    <mergeCell ref="D35:G35"/>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A34:AD34"/>
    <mergeCell ref="A27:AD27"/>
    <mergeCell ref="G17:AD17"/>
    <mergeCell ref="G22:K22"/>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6">
    <dataValidation showInputMessage="1" showErrorMessage="1" sqref="L22:AD22" xr:uid="{00000000-0002-0000-0100-000000000000}"/>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pageMargins left="0.51181102362204722" right="0.51181102362204722" top="0.74803149606299213" bottom="0.74803149606299213" header="0.31496062992125984" footer="0.31496062992125984"/>
  <pageSetup paperSize="9" orientation="portrait" horizontalDpi="0" verticalDpi="0" r:id="rId1"/>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1"/>
  <sheetViews>
    <sheetView showGridLines="0" view="pageBreakPreview" topLeftCell="A9" zoomScale="130" zoomScaleNormal="100" zoomScaleSheetLayoutView="130" workbookViewId="0">
      <selection activeCell="G10" sqref="G10:AD10"/>
    </sheetView>
  </sheetViews>
  <sheetFormatPr defaultColWidth="3" defaultRowHeight="15" customHeight="1" x14ac:dyDescent="0.25"/>
  <sheetData>
    <row r="1" spans="1:30" ht="30" customHeight="1" x14ac:dyDescent="0.25">
      <c r="A1" s="166" t="str">
        <f xml:space="preserve"> "ACTIVITY " &amp; 'Activity Info'!G4 &amp; " — QUESTION 1"</f>
        <v>ACTIVITY CB-003 — QUESTION 1</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t="s">
        <v>227</v>
      </c>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t="str">
        <f>IF('Activity Info'!D36&lt;&gt;"",VLOOKUP('Activity Info'!D36,'Activity Info'!A28:G32,7),"")</f>
        <v>The student will be able to calculate sludge retention time and explain how waste activated sludge flow is used to control SRT.</v>
      </c>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t="str">
        <f>IF('Activity Info'!H36&lt;&gt;"",'Activity Info'!H36,"")</f>
        <v>PO-6</v>
      </c>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t="str">
        <f>IF('Activity Info'!N36&lt;&gt;"",'Activity Info'!N36,"")</f>
        <v>PO-2</v>
      </c>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t="str">
        <f>IF('Activity Info'!T36&lt;&gt;"",'Activity Info'!T36,"")</f>
        <v>PÇ-1.2</v>
      </c>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t="str">
        <f>IF('Activity Info'!Z36&lt;&gt;"",'Activity Info'!Z36,"")</f>
        <v>Understand</v>
      </c>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110.25" customHeight="1" x14ac:dyDescent="0.25">
      <c r="A10" s="117" t="s">
        <v>176</v>
      </c>
      <c r="B10" s="117"/>
      <c r="C10" s="117"/>
      <c r="D10" s="117"/>
      <c r="E10" s="117"/>
      <c r="F10" s="117"/>
      <c r="G10" s="118" t="s">
        <v>228</v>
      </c>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t="s">
        <v>199</v>
      </c>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t="s">
        <v>183</v>
      </c>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t="s">
        <v>187</v>
      </c>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t="s">
        <v>184</v>
      </c>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t="s">
        <v>229</v>
      </c>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t="s">
        <v>192</v>
      </c>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t="s">
        <v>194</v>
      </c>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t="s">
        <v>191</v>
      </c>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50" t="s">
        <v>201</v>
      </c>
      <c r="B21" s="123" t="s">
        <v>188</v>
      </c>
      <c r="C21" s="123"/>
      <c r="D21" s="123"/>
      <c r="E21" s="123"/>
      <c r="F21" s="124"/>
      <c r="G21" s="161" t="s">
        <v>205</v>
      </c>
      <c r="H21" s="161"/>
      <c r="I21" s="161"/>
      <c r="J21" s="161"/>
      <c r="K21" s="161"/>
      <c r="L21" s="161"/>
      <c r="M21" s="161"/>
      <c r="N21" s="161"/>
      <c r="O21" s="161"/>
      <c r="P21" s="161"/>
      <c r="Q21" s="161"/>
      <c r="R21" s="161"/>
      <c r="S21" s="161"/>
      <c r="T21" s="161"/>
      <c r="U21" s="161"/>
      <c r="V21" s="161"/>
      <c r="W21" s="161"/>
      <c r="X21" s="161"/>
      <c r="Y21" s="161"/>
      <c r="Z21" s="161"/>
      <c r="AA21" s="161"/>
      <c r="AB21" s="161"/>
      <c r="AC21" s="161"/>
      <c r="AD21" s="162"/>
    </row>
    <row r="22" spans="1:30" ht="15" customHeight="1" x14ac:dyDescent="0.25">
      <c r="A22" s="151"/>
      <c r="B22" s="123" t="s">
        <v>189</v>
      </c>
      <c r="C22" s="123"/>
      <c r="D22" s="123"/>
      <c r="E22" s="123"/>
      <c r="F22" s="124"/>
      <c r="G22" s="161" t="s">
        <v>206</v>
      </c>
      <c r="H22" s="161"/>
      <c r="I22" s="161"/>
      <c r="J22" s="161"/>
      <c r="K22" s="161"/>
      <c r="L22" s="161"/>
      <c r="M22" s="161"/>
      <c r="N22" s="161"/>
      <c r="O22" s="161"/>
      <c r="P22" s="161"/>
      <c r="Q22" s="161"/>
      <c r="R22" s="161"/>
      <c r="S22" s="161"/>
      <c r="T22" s="161"/>
      <c r="U22" s="161"/>
      <c r="V22" s="161"/>
      <c r="W22" s="161"/>
      <c r="X22" s="161"/>
      <c r="Y22" s="161"/>
      <c r="Z22" s="161"/>
      <c r="AA22" s="161"/>
      <c r="AB22" s="161"/>
      <c r="AC22" s="161"/>
      <c r="AD22" s="162"/>
    </row>
    <row r="23" spans="1:30" ht="15" customHeight="1" x14ac:dyDescent="0.25">
      <c r="A23" s="152"/>
      <c r="B23" s="123" t="s">
        <v>200</v>
      </c>
      <c r="C23" s="123"/>
      <c r="D23" s="123"/>
      <c r="E23" s="123"/>
      <c r="F23" s="124"/>
      <c r="G23" s="161">
        <v>5</v>
      </c>
      <c r="H23" s="161"/>
      <c r="I23" s="161"/>
      <c r="J23" s="161"/>
      <c r="K23" s="161"/>
      <c r="L23" s="161"/>
      <c r="M23" s="161"/>
      <c r="N23" s="161"/>
      <c r="O23" s="161"/>
      <c r="P23" s="161"/>
      <c r="Q23" s="161"/>
      <c r="R23" s="161"/>
      <c r="S23" s="161"/>
      <c r="T23" s="161"/>
      <c r="U23" s="161"/>
      <c r="V23" s="161"/>
      <c r="W23" s="161"/>
      <c r="X23" s="161"/>
      <c r="Y23" s="161"/>
      <c r="Z23" s="161"/>
      <c r="AA23" s="161"/>
      <c r="AB23" s="161"/>
      <c r="AC23" s="161"/>
      <c r="AD23" s="162"/>
    </row>
    <row r="24" spans="1:30" ht="15" customHeight="1" x14ac:dyDescent="0.25">
      <c r="A24" s="163" t="s">
        <v>202</v>
      </c>
      <c r="B24" s="164"/>
      <c r="C24" s="164"/>
      <c r="D24" s="164"/>
      <c r="E24" s="164"/>
      <c r="F24" s="165"/>
      <c r="G24" s="115" t="s">
        <v>183</v>
      </c>
      <c r="H24" s="115"/>
      <c r="I24" s="115"/>
      <c r="J24" s="115"/>
      <c r="K24" s="115"/>
      <c r="L24" s="115"/>
      <c r="M24" s="115"/>
      <c r="N24" s="115"/>
      <c r="O24" s="115"/>
      <c r="P24" s="115"/>
      <c r="Q24" s="115"/>
      <c r="R24" s="115"/>
      <c r="S24" s="115"/>
      <c r="T24" s="115"/>
      <c r="U24" s="115"/>
      <c r="V24" s="115"/>
      <c r="W24" s="115"/>
      <c r="X24" s="115"/>
      <c r="Y24" s="115"/>
      <c r="Z24" s="115"/>
      <c r="AA24" s="115"/>
      <c r="AB24" s="115"/>
      <c r="AC24" s="115"/>
      <c r="AD24" s="116"/>
    </row>
    <row r="25" spans="1:30" ht="15" customHeight="1" x14ac:dyDescent="0.25">
      <c r="A25" s="125" t="s">
        <v>204</v>
      </c>
      <c r="B25" s="126"/>
      <c r="C25" s="126"/>
      <c r="D25" s="126"/>
      <c r="E25" s="126"/>
      <c r="F25" s="127"/>
      <c r="G25" s="115" t="s">
        <v>239</v>
      </c>
      <c r="H25" s="115"/>
      <c r="I25" s="115"/>
      <c r="J25" s="115"/>
      <c r="K25" s="115"/>
      <c r="L25" s="115"/>
      <c r="M25" s="115"/>
      <c r="N25" s="115"/>
      <c r="O25" s="115"/>
      <c r="P25" s="115"/>
      <c r="Q25" s="115"/>
      <c r="R25" s="115"/>
      <c r="S25" s="115"/>
      <c r="T25" s="115"/>
      <c r="U25" s="115"/>
      <c r="V25" s="115"/>
      <c r="W25" s="115"/>
      <c r="X25" s="115"/>
      <c r="Y25" s="115"/>
      <c r="Z25" s="115"/>
      <c r="AA25" s="115"/>
      <c r="AB25" s="115"/>
      <c r="AC25" s="115"/>
      <c r="AD25" s="116"/>
    </row>
    <row r="26" spans="1:30" ht="15" customHeight="1" x14ac:dyDescent="0.25">
      <c r="A26" s="122" t="s">
        <v>196</v>
      </c>
      <c r="B26" s="123"/>
      <c r="C26" s="123"/>
      <c r="D26" s="123"/>
      <c r="E26" s="123"/>
      <c r="F26" s="124"/>
      <c r="G26" s="128" t="s">
        <v>207</v>
      </c>
      <c r="H26" s="128"/>
      <c r="I26" s="128"/>
      <c r="J26" s="128"/>
      <c r="K26" s="128"/>
      <c r="L26" s="128"/>
      <c r="M26" s="128"/>
      <c r="N26" s="128"/>
      <c r="O26" s="128"/>
      <c r="P26" s="128"/>
      <c r="Q26" s="128"/>
      <c r="R26" s="128"/>
      <c r="S26" s="128"/>
      <c r="T26" s="128"/>
      <c r="U26" s="128"/>
      <c r="V26" s="128"/>
      <c r="W26" s="128"/>
      <c r="X26" s="128"/>
      <c r="Y26" s="128"/>
      <c r="Z26" s="128"/>
      <c r="AA26" s="128"/>
      <c r="AB26" s="128"/>
      <c r="AC26" s="128"/>
      <c r="AD26" s="129"/>
    </row>
    <row r="27" spans="1:30" ht="192" customHeight="1" x14ac:dyDescent="0.25">
      <c r="A27" s="119" t="s">
        <v>178</v>
      </c>
      <c r="B27" s="120"/>
      <c r="C27" s="120"/>
      <c r="D27" s="120"/>
      <c r="E27" s="120"/>
      <c r="F27" s="121"/>
      <c r="G27" s="130" t="s">
        <v>197</v>
      </c>
      <c r="H27" s="131"/>
      <c r="I27" s="131"/>
      <c r="J27" s="131"/>
      <c r="K27" s="131"/>
      <c r="L27" s="131"/>
      <c r="M27" s="131"/>
      <c r="N27" s="131"/>
      <c r="O27" s="131"/>
      <c r="P27" s="131"/>
      <c r="Q27" s="131"/>
      <c r="R27" s="131"/>
      <c r="S27" s="131"/>
      <c r="T27" s="131"/>
      <c r="U27" s="131"/>
      <c r="V27" s="131"/>
      <c r="W27" s="131"/>
      <c r="X27" s="131"/>
      <c r="Y27" s="131"/>
      <c r="Z27" s="131"/>
      <c r="AA27" s="131"/>
      <c r="AB27" s="131"/>
      <c r="AC27" s="131"/>
      <c r="AD27" s="132"/>
    </row>
    <row r="28" spans="1:30" ht="1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292.5" customHeight="1" x14ac:dyDescent="0.25">
      <c r="A29" s="117" t="s">
        <v>179</v>
      </c>
      <c r="B29" s="117"/>
      <c r="C29" s="117"/>
      <c r="D29" s="117"/>
      <c r="E29" s="117"/>
      <c r="F29" s="117"/>
      <c r="G29" s="118" t="s">
        <v>240</v>
      </c>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row>
    <row r="30" spans="1:30" ht="15" customHeight="1" x14ac:dyDescent="0.25">
      <c r="A30" s="14"/>
      <c r="B30" s="14"/>
      <c r="C30" s="14"/>
      <c r="D30" s="14"/>
      <c r="E30" s="14"/>
      <c r="F30" s="14"/>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spans="1:30" ht="50.25" customHeight="1" x14ac:dyDescent="0.25">
      <c r="A31" s="117" t="s">
        <v>198</v>
      </c>
      <c r="B31" s="117"/>
      <c r="C31" s="117"/>
      <c r="D31" s="117"/>
      <c r="E31" s="117"/>
      <c r="F31" s="117"/>
      <c r="G31" s="118" t="s">
        <v>230</v>
      </c>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row>
  </sheetData>
  <mergeCells count="56">
    <mergeCell ref="G21:AD21"/>
    <mergeCell ref="G22:AD22"/>
    <mergeCell ref="G23:AD23"/>
    <mergeCell ref="A1:AD1"/>
    <mergeCell ref="A29:F29"/>
    <mergeCell ref="G29:AD29"/>
    <mergeCell ref="A12:AD12"/>
    <mergeCell ref="B14:F14"/>
    <mergeCell ref="B16:F16"/>
    <mergeCell ref="A14:A16"/>
    <mergeCell ref="B15:F15"/>
    <mergeCell ref="G15:AD15"/>
    <mergeCell ref="B17:F17"/>
    <mergeCell ref="B18:F18"/>
    <mergeCell ref="B20:F20"/>
    <mergeCell ref="B19:F19"/>
    <mergeCell ref="A21:A23"/>
    <mergeCell ref="B21:F21"/>
    <mergeCell ref="B22:F22"/>
    <mergeCell ref="B23:F23"/>
    <mergeCell ref="A24:F24"/>
    <mergeCell ref="A17:A20"/>
    <mergeCell ref="A10:F10"/>
    <mergeCell ref="G10:AD10"/>
    <mergeCell ref="A13:F13"/>
    <mergeCell ref="G13:AD13"/>
    <mergeCell ref="G18:AD18"/>
    <mergeCell ref="G20:AD20"/>
    <mergeCell ref="G19:AD19"/>
    <mergeCell ref="G14:AD14"/>
    <mergeCell ref="G16:AD16"/>
    <mergeCell ref="G17:AD17"/>
    <mergeCell ref="G8:AD8"/>
    <mergeCell ref="A9:F9"/>
    <mergeCell ref="G9:AD9"/>
    <mergeCell ref="A2:L2"/>
    <mergeCell ref="A3:F3"/>
    <mergeCell ref="G3:AD3"/>
    <mergeCell ref="A5:F5"/>
    <mergeCell ref="G5:AD5"/>
    <mergeCell ref="A4:F4"/>
    <mergeCell ref="G4:AD4"/>
    <mergeCell ref="A6:F6"/>
    <mergeCell ref="G6:AD6"/>
    <mergeCell ref="A7:F7"/>
    <mergeCell ref="G7:AD7"/>
    <mergeCell ref="A8:F8"/>
    <mergeCell ref="G24:AD24"/>
    <mergeCell ref="G25:AD25"/>
    <mergeCell ref="A31:F31"/>
    <mergeCell ref="G31:AD31"/>
    <mergeCell ref="A27:F27"/>
    <mergeCell ref="A26:F26"/>
    <mergeCell ref="A25:F25"/>
    <mergeCell ref="G26:AD26"/>
    <mergeCell ref="G27:AD2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7"/>
  <sheetViews>
    <sheetView showGridLines="0" view="pageBreakPreview" zoomScaleNormal="100" zoomScaleSheetLayoutView="100" workbookViewId="0">
      <selection activeCell="G4" sqref="G4:AD4"/>
    </sheetView>
  </sheetViews>
  <sheetFormatPr defaultColWidth="3" defaultRowHeight="15" x14ac:dyDescent="0.25"/>
  <sheetData>
    <row r="1" spans="1:30" ht="30" customHeight="1" x14ac:dyDescent="0.25">
      <c r="A1" s="166" t="str">
        <f xml:space="preserve"> "ACTIVITY " &amp; 'Activity Info'!G4 &amp; " — QUESTION 2"</f>
        <v>ACTIVITY CB-003 — QUESTION 2</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t="s">
        <v>231</v>
      </c>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t="str">
        <f>IF('Activity Info'!D37&lt;&gt;"",VLOOKUP('Activity Info'!D37,'Activity Info'!A28:G32,7),"")</f>
        <v>The student will be able to relate sludge retention time to waste solids production and specific waste solids production.</v>
      </c>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t="str">
        <f>IF('Activity Info'!H37&lt;&gt;"",'Activity Info'!H37,"")</f>
        <v>PO-6</v>
      </c>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t="str">
        <f>IF('Activity Info'!N37&lt;&gt;"",'Activity Info'!N37,"")</f>
        <v>PO-2</v>
      </c>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t="str">
        <f>IF('Activity Info'!T37&lt;&gt;"",'Activity Info'!T37,"")</f>
        <v>PÇ-2.2</v>
      </c>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t="str">
        <f>IF('Activity Info'!Z37&lt;&gt;"",'Activity Info'!Z37,"")</f>
        <v>Analyze</v>
      </c>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t="s">
        <v>232</v>
      </c>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hidden="1"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hidden="1"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hidden="1"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hidden="1"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hidden="1"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hidden="1"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hidden="1"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hidden="1"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hidden="1" customHeight="1" x14ac:dyDescent="0.25">
      <c r="A21" s="150" t="s">
        <v>201</v>
      </c>
      <c r="B21" s="123" t="s">
        <v>188</v>
      </c>
      <c r="C21" s="123"/>
      <c r="D21" s="123"/>
      <c r="E21" s="123"/>
      <c r="F21" s="124"/>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2"/>
    </row>
    <row r="22" spans="1:30" ht="15" hidden="1" customHeight="1" x14ac:dyDescent="0.25">
      <c r="A22" s="151"/>
      <c r="B22" s="123" t="s">
        <v>189</v>
      </c>
      <c r="C22" s="123"/>
      <c r="D22" s="123"/>
      <c r="E22" s="123"/>
      <c r="F22" s="124"/>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2"/>
    </row>
    <row r="23" spans="1:30" ht="15" hidden="1" customHeight="1" x14ac:dyDescent="0.25">
      <c r="A23" s="151"/>
      <c r="B23" s="123" t="s">
        <v>200</v>
      </c>
      <c r="C23" s="123"/>
      <c r="D23" s="123"/>
      <c r="E23" s="123"/>
      <c r="F23" s="124"/>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2"/>
    </row>
    <row r="24" spans="1:30" ht="15" hidden="1" customHeight="1" x14ac:dyDescent="0.25">
      <c r="A24" s="163" t="s">
        <v>202</v>
      </c>
      <c r="B24" s="164"/>
      <c r="C24" s="164"/>
      <c r="D24" s="164"/>
      <c r="E24" s="164"/>
      <c r="F24" s="165"/>
      <c r="G24" s="16"/>
      <c r="H24" s="16"/>
      <c r="I24" s="16"/>
      <c r="J24" s="16"/>
      <c r="K24" s="16"/>
      <c r="L24" s="16"/>
      <c r="M24" s="16"/>
      <c r="N24" s="16"/>
      <c r="O24" s="16"/>
      <c r="P24" s="16"/>
      <c r="Q24" s="16"/>
      <c r="R24" s="16"/>
      <c r="S24" s="16"/>
      <c r="T24" s="16"/>
      <c r="U24" s="16"/>
      <c r="V24" s="16"/>
      <c r="W24" s="16"/>
      <c r="X24" s="16"/>
      <c r="Y24" s="16"/>
      <c r="Z24" s="16"/>
      <c r="AA24" s="16"/>
      <c r="AB24" s="16"/>
      <c r="AC24" s="16"/>
      <c r="AD24" s="17"/>
    </row>
    <row r="25" spans="1:30" ht="15" customHeight="1" x14ac:dyDescent="0.25">
      <c r="A25" s="122" t="s">
        <v>196</v>
      </c>
      <c r="B25" s="123"/>
      <c r="C25" s="123"/>
      <c r="D25" s="123"/>
      <c r="E25" s="123"/>
      <c r="F25" s="124"/>
      <c r="G25" s="128" t="s">
        <v>233</v>
      </c>
      <c r="H25" s="128"/>
      <c r="I25" s="128"/>
      <c r="J25" s="128"/>
      <c r="K25" s="128"/>
      <c r="L25" s="128"/>
      <c r="M25" s="128"/>
      <c r="N25" s="128"/>
      <c r="O25" s="128"/>
      <c r="P25" s="128"/>
      <c r="Q25" s="128"/>
      <c r="R25" s="128"/>
      <c r="S25" s="128"/>
      <c r="T25" s="128"/>
      <c r="U25" s="128"/>
      <c r="V25" s="128"/>
      <c r="W25" s="128"/>
      <c r="X25" s="128"/>
      <c r="Y25" s="128"/>
      <c r="Z25" s="128"/>
      <c r="AA25" s="128"/>
      <c r="AB25" s="128"/>
      <c r="AC25" s="128"/>
      <c r="AD25" s="129"/>
    </row>
    <row r="26" spans="1:30" ht="132" hidden="1" customHeight="1" x14ac:dyDescent="0.25">
      <c r="A26" s="119" t="s">
        <v>178</v>
      </c>
      <c r="B26" s="120"/>
      <c r="C26" s="120"/>
      <c r="D26" s="120"/>
      <c r="E26" s="120"/>
      <c r="F26" s="121"/>
      <c r="G26" s="130" t="s">
        <v>197</v>
      </c>
      <c r="H26" s="131"/>
      <c r="I26" s="131"/>
      <c r="J26" s="131"/>
      <c r="K26" s="131"/>
      <c r="L26" s="131"/>
      <c r="M26" s="131"/>
      <c r="N26" s="131"/>
      <c r="O26" s="131"/>
      <c r="P26" s="131"/>
      <c r="Q26" s="131"/>
      <c r="R26" s="131"/>
      <c r="S26" s="131"/>
      <c r="T26" s="131"/>
      <c r="U26" s="131"/>
      <c r="V26" s="131"/>
      <c r="W26" s="131"/>
      <c r="X26" s="131"/>
      <c r="Y26" s="131"/>
      <c r="Z26" s="131"/>
      <c r="AA26" s="131"/>
      <c r="AB26" s="131"/>
      <c r="AC26" s="131"/>
      <c r="AD26" s="132"/>
    </row>
    <row r="27" spans="1:30" ht="15"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215.25" customHeight="1" x14ac:dyDescent="0.25">
      <c r="A28" s="117" t="s">
        <v>179</v>
      </c>
      <c r="B28" s="117"/>
      <c r="C28" s="117"/>
      <c r="D28" s="117"/>
      <c r="E28" s="117"/>
      <c r="F28" s="117"/>
      <c r="G28" s="181" t="s">
        <v>235</v>
      </c>
      <c r="H28" s="181"/>
      <c r="I28" s="181"/>
      <c r="J28" s="181"/>
      <c r="K28" s="181"/>
      <c r="L28" s="181"/>
      <c r="M28" s="181"/>
      <c r="N28" s="181"/>
      <c r="O28" s="181"/>
      <c r="P28" s="181"/>
      <c r="Q28" s="181"/>
      <c r="R28" s="181"/>
      <c r="S28" s="181"/>
      <c r="T28" s="181"/>
      <c r="U28" s="181"/>
      <c r="V28" s="181"/>
      <c r="W28" s="181"/>
      <c r="X28" s="181"/>
      <c r="Y28" s="181"/>
      <c r="Z28" s="181"/>
      <c r="AA28" s="181"/>
      <c r="AB28" s="181"/>
      <c r="AC28" s="181"/>
      <c r="AD28" s="181"/>
    </row>
    <row r="29" spans="1:30" ht="15" customHeight="1" x14ac:dyDescent="0.25">
      <c r="A29" s="14"/>
      <c r="B29" s="14"/>
      <c r="C29" s="14"/>
      <c r="D29" s="14"/>
      <c r="E29" s="14"/>
      <c r="F29" s="14"/>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34.5" customHeight="1" x14ac:dyDescent="0.25">
      <c r="A30" s="117" t="s">
        <v>198</v>
      </c>
      <c r="B30" s="117"/>
      <c r="C30" s="117"/>
      <c r="D30" s="117"/>
      <c r="E30" s="117"/>
      <c r="F30" s="117"/>
      <c r="G30" s="118" t="s">
        <v>234</v>
      </c>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row>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53">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30:F30"/>
    <mergeCell ref="G30:AD30"/>
    <mergeCell ref="A21:A23"/>
    <mergeCell ref="B21:F21"/>
    <mergeCell ref="B22:F22"/>
    <mergeCell ref="B23:F23"/>
    <mergeCell ref="G21:AD21"/>
    <mergeCell ref="G22:AD22"/>
    <mergeCell ref="G23:AD23"/>
    <mergeCell ref="A25:F25"/>
    <mergeCell ref="G25:AD25"/>
    <mergeCell ref="A26:F26"/>
    <mergeCell ref="G26:AD26"/>
    <mergeCell ref="A28:F28"/>
    <mergeCell ref="G28:AD28"/>
    <mergeCell ref="A24:F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66" t="str">
        <f xml:space="preserve"> "ACTIVITY " &amp; 'Activity Info'!G4 &amp; " — QUESTION 3"</f>
        <v>ACTIVITY CB-003 — QUESTION 3</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t="str">
        <f>IF('Activity Info'!D38&lt;&gt;"",VLOOKUP('Activity Info'!D38,'Activity Info'!A28:G32,7),"")</f>
        <v/>
      </c>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t="str">
        <f>IF('Activity Info'!H38&lt;&gt;"",'Activity Info'!H38,"")</f>
        <v/>
      </c>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t="str">
        <f>IF('Activity Info'!N38&lt;&gt;"",'Activity Info'!N38,"")</f>
        <v/>
      </c>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t="str">
        <f>IF('Activity Info'!T38&lt;&gt;"",'Activity Info'!T38,"")</f>
        <v/>
      </c>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t="str">
        <f>IF('Activity Info'!Z38&lt;&gt;"",'Activity Info'!Z38,"")</f>
        <v/>
      </c>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22" t="s">
        <v>196</v>
      </c>
      <c r="B21" s="123"/>
      <c r="C21" s="123"/>
      <c r="D21" s="123"/>
      <c r="E21" s="123"/>
      <c r="F21" s="124"/>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9"/>
    </row>
    <row r="22" spans="1:30" ht="132" customHeight="1" x14ac:dyDescent="0.25">
      <c r="A22" s="119" t="s">
        <v>178</v>
      </c>
      <c r="B22" s="120"/>
      <c r="C22" s="120"/>
      <c r="D22" s="120"/>
      <c r="E22" s="120"/>
      <c r="F22" s="121"/>
      <c r="G22" s="130" t="s">
        <v>197</v>
      </c>
      <c r="H22" s="131"/>
      <c r="I22" s="131"/>
      <c r="J22" s="131"/>
      <c r="K22" s="131"/>
      <c r="L22" s="131"/>
      <c r="M22" s="131"/>
      <c r="N22" s="131"/>
      <c r="O22" s="131"/>
      <c r="P22" s="131"/>
      <c r="Q22" s="131"/>
      <c r="R22" s="131"/>
      <c r="S22" s="131"/>
      <c r="T22" s="131"/>
      <c r="U22" s="131"/>
      <c r="V22" s="131"/>
      <c r="W22" s="131"/>
      <c r="X22" s="131"/>
      <c r="Y22" s="131"/>
      <c r="Z22" s="131"/>
      <c r="AA22" s="131"/>
      <c r="AB22" s="131"/>
      <c r="AC22" s="131"/>
      <c r="AD22" s="132"/>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7" t="s">
        <v>179</v>
      </c>
      <c r="B24" s="117"/>
      <c r="C24" s="117"/>
      <c r="D24" s="117"/>
      <c r="E24" s="117"/>
      <c r="F24" s="117"/>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7" t="s">
        <v>198</v>
      </c>
      <c r="B26" s="117"/>
      <c r="C26" s="117"/>
      <c r="D26" s="117"/>
      <c r="E26" s="117"/>
      <c r="F26" s="117"/>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66" t="str">
        <f xml:space="preserve"> "ACTIVITY " &amp; 'Activity Info'!G4 &amp; " — QUESTION 4"</f>
        <v>ACTIVITY CB-003 — QUESTION 4</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22" t="s">
        <v>196</v>
      </c>
      <c r="B21" s="123"/>
      <c r="C21" s="123"/>
      <c r="D21" s="123"/>
      <c r="E21" s="123"/>
      <c r="F21" s="124"/>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9"/>
    </row>
    <row r="22" spans="1:30" ht="132" customHeight="1" x14ac:dyDescent="0.25">
      <c r="A22" s="119" t="s">
        <v>178</v>
      </c>
      <c r="B22" s="120"/>
      <c r="C22" s="120"/>
      <c r="D22" s="120"/>
      <c r="E22" s="120"/>
      <c r="F22" s="121"/>
      <c r="G22" s="130" t="s">
        <v>197</v>
      </c>
      <c r="H22" s="131"/>
      <c r="I22" s="131"/>
      <c r="J22" s="131"/>
      <c r="K22" s="131"/>
      <c r="L22" s="131"/>
      <c r="M22" s="131"/>
      <c r="N22" s="131"/>
      <c r="O22" s="131"/>
      <c r="P22" s="131"/>
      <c r="Q22" s="131"/>
      <c r="R22" s="131"/>
      <c r="S22" s="131"/>
      <c r="T22" s="131"/>
      <c r="U22" s="131"/>
      <c r="V22" s="131"/>
      <c r="W22" s="131"/>
      <c r="X22" s="131"/>
      <c r="Y22" s="131"/>
      <c r="Z22" s="131"/>
      <c r="AA22" s="131"/>
      <c r="AB22" s="131"/>
      <c r="AC22" s="131"/>
      <c r="AD22" s="132"/>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7" t="s">
        <v>179</v>
      </c>
      <c r="B24" s="117"/>
      <c r="C24" s="117"/>
      <c r="D24" s="117"/>
      <c r="E24" s="117"/>
      <c r="F24" s="117"/>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7" t="s">
        <v>198</v>
      </c>
      <c r="B26" s="117"/>
      <c r="C26" s="117"/>
      <c r="D26" s="117"/>
      <c r="E26" s="117"/>
      <c r="F26" s="117"/>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66" t="str">
        <f xml:space="preserve"> "ACTIVITY " &amp; 'Activity Info'!G4 &amp; " — QUESTION 5"</f>
        <v>ACTIVITY CB-003 — QUESTION 5</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82" t="s">
        <v>196</v>
      </c>
      <c r="B21" s="123"/>
      <c r="C21" s="123"/>
      <c r="D21" s="123"/>
      <c r="E21" s="123"/>
      <c r="F21" s="124"/>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9"/>
    </row>
    <row r="22" spans="1:30" ht="132" customHeight="1" x14ac:dyDescent="0.25">
      <c r="A22" s="119" t="s">
        <v>178</v>
      </c>
      <c r="B22" s="120"/>
      <c r="C22" s="120"/>
      <c r="D22" s="120"/>
      <c r="E22" s="120"/>
      <c r="F22" s="121"/>
      <c r="G22" s="130" t="s">
        <v>197</v>
      </c>
      <c r="H22" s="131"/>
      <c r="I22" s="131"/>
      <c r="J22" s="131"/>
      <c r="K22" s="131"/>
      <c r="L22" s="131"/>
      <c r="M22" s="131"/>
      <c r="N22" s="131"/>
      <c r="O22" s="131"/>
      <c r="P22" s="131"/>
      <c r="Q22" s="131"/>
      <c r="R22" s="131"/>
      <c r="S22" s="131"/>
      <c r="T22" s="131"/>
      <c r="U22" s="131"/>
      <c r="V22" s="131"/>
      <c r="W22" s="131"/>
      <c r="X22" s="131"/>
      <c r="Y22" s="131"/>
      <c r="Z22" s="131"/>
      <c r="AA22" s="131"/>
      <c r="AB22" s="131"/>
      <c r="AC22" s="131"/>
      <c r="AD22" s="132"/>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7" t="s">
        <v>179</v>
      </c>
      <c r="B24" s="117"/>
      <c r="C24" s="117"/>
      <c r="D24" s="117"/>
      <c r="E24" s="117"/>
      <c r="F24" s="117"/>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7" t="s">
        <v>198</v>
      </c>
      <c r="B26" s="117"/>
      <c r="C26" s="117"/>
      <c r="D26" s="117"/>
      <c r="E26" s="117"/>
      <c r="F26" s="117"/>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2026-08-12T15:49:06Z</cp:lastPrinted>
  <dcterms:modified xsi:type="dcterms:W3CDTF">2026-08-31T17:16:35Z</dcterms:modified>
</cp:coreProperties>
</file>