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469" documentId="11_66174F24F608B6D7431E05A6C92D535463DFB474" xr6:coauthVersionLast="47" xr6:coauthVersionMax="47" xr10:uidLastSave="{8721048C-F4E4-4B80-B816-048E536D813F}"/>
  <bookViews>
    <workbookView xWindow="-120" yWindow="-120" windowWidth="29040" windowHeight="15720" firstSheet="1" activeTab="1" xr2:uid="{00000000-000D-0000-FFFF-FFFF00000000}"/>
  </bookViews>
  <sheets>
    <sheet name="Lists" sheetId="3" state="hidden" r:id="rId1"/>
    <sheet name="Activity Info" sheetId="1" r:id="rId2"/>
    <sheet name="Q1" sheetId="4" r:id="rId3"/>
    <sheet name="Q2" sheetId="5" state="hidden" r:id="rId4"/>
    <sheet name="Q3" sheetId="6" state="hidden" r:id="rId5"/>
    <sheet name="Q4" sheetId="7" state="hidden" r:id="rId6"/>
    <sheet name="Q5" sheetId="8"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1" i="5"/>
  <c r="A1" i="6"/>
  <c r="A1" i="7"/>
  <c r="A1" i="8"/>
  <c r="G4" i="4"/>
  <c r="G4" i="5"/>
  <c r="G4" i="6"/>
  <c r="G7" i="6"/>
  <c r="G6" i="6"/>
  <c r="G5" i="6"/>
  <c r="G8" i="6"/>
  <c r="G8" i="5"/>
  <c r="G7" i="5"/>
  <c r="G6" i="5"/>
  <c r="G5" i="5"/>
  <c r="G8" i="4"/>
  <c r="G7" i="4"/>
  <c r="G5" i="4"/>
  <c r="G6" i="4"/>
  <c r="G22" i="1"/>
</calcChain>
</file>

<file path=xl/sharedStrings.xml><?xml version="1.0" encoding="utf-8"?>
<sst xmlns="http://schemas.openxmlformats.org/spreadsheetml/2006/main" count="360" uniqueCount="236">
  <si>
    <t>Bloom Level</t>
  </si>
  <si>
    <t>Short meaning</t>
  </si>
  <si>
    <t>ABET PO</t>
  </si>
  <si>
    <t>Short descriptor</t>
  </si>
  <si>
    <t>EUR-ACE PO</t>
  </si>
  <si>
    <t>Learning area</t>
  </si>
  <si>
    <t>MÜDEK PO</t>
  </si>
  <si>
    <t>Program Outcome</t>
  </si>
  <si>
    <t>ALO Mapping Options</t>
  </si>
  <si>
    <t>Inactive list</t>
  </si>
  <si>
    <t>Notes / Sources</t>
  </si>
  <si>
    <t>Reference</t>
  </si>
  <si>
    <t>Question IDs</t>
  </si>
  <si>
    <t>Remember</t>
  </si>
  <si>
    <t>Recall or recognize information</t>
  </si>
  <si>
    <t>PO-1</t>
  </si>
  <si>
    <t>Complex engineering problem solving</t>
  </si>
  <si>
    <t>Knowledge and Understanding</t>
  </si>
  <si>
    <t>PÇ-1.1</t>
  </si>
  <si>
    <t>Adequate knowledge of mathematics and natural sciences.</t>
  </si>
  <si>
    <t>ALO-1</t>
  </si>
  <si>
    <t>EUR-ACE numbering</t>
  </si>
  <si>
    <t>PO-1...PO-8 are internal workbook labels for the eight EAFSG learning areas.</t>
  </si>
  <si>
    <t>Q1</t>
  </si>
  <si>
    <t>Understand</t>
  </si>
  <si>
    <t>Explain, interpret, summarize, classify, or compare</t>
  </si>
  <si>
    <t>PO-2</t>
  </si>
  <si>
    <t>Engineering design under specified needs and contextual constraints</t>
  </si>
  <si>
    <t>Engineering Analysis</t>
  </si>
  <si>
    <t>PÇ-1.2</t>
  </si>
  <si>
    <t>Adequate knowledge of subjects specific to Environmental Engineering.</t>
  </si>
  <si>
    <t>ALO-2</t>
  </si>
  <si>
    <t>ABET source</t>
  </si>
  <si>
    <t>https://www.abet.org/accreditation/accreditation-criteria/criteria-for-accrediting-engineering-programs-2026-2027/</t>
  </si>
  <si>
    <t>Q2</t>
  </si>
  <si>
    <t>Apply</t>
  </si>
  <si>
    <t>Use a known procedure or method in a given situation</t>
  </si>
  <si>
    <t>PO-3</t>
  </si>
  <si>
    <t>Effective communication</t>
  </si>
  <si>
    <t>Engineering Design</t>
  </si>
  <si>
    <t>PÇ-1.3</t>
  </si>
  <si>
    <t>Ability to apply theoretical and practical knowledge in these areas to complex engineering problems.</t>
  </si>
  <si>
    <t>ALO-3</t>
  </si>
  <si>
    <t>EUR-ACE source</t>
  </si>
  <si>
    <t>https://www.enaee.eu/wp-content/uploads/2022/03/EAFSG-04112021-English-1-1.pdf</t>
  </si>
  <si>
    <t>Q3</t>
  </si>
  <si>
    <t>Analyze</t>
  </si>
  <si>
    <t>Break information into parts and determine relationships</t>
  </si>
  <si>
    <t>PO-4</t>
  </si>
  <si>
    <t>Ethical/professional responsibility and informed judgment</t>
  </si>
  <si>
    <t>Investigations</t>
  </si>
  <si>
    <t>PÇ-2.1</t>
  </si>
  <si>
    <t>Ability to identify, define, formulate, and solve complex engineering problems.</t>
  </si>
  <si>
    <t>ALO-4</t>
  </si>
  <si>
    <t>MÜDEK / departmental PÇ</t>
  </si>
  <si>
    <t>PÇ list supplied for the Environmental Engineering program; version not specified.</t>
  </si>
  <si>
    <t>Q4</t>
  </si>
  <si>
    <t>Evaluate</t>
  </si>
  <si>
    <t>Make a judgment using criteria or standards</t>
  </si>
  <si>
    <t>PO-5</t>
  </si>
  <si>
    <t>Effective teamwork</t>
  </si>
  <si>
    <t>Engineering Practice</t>
  </si>
  <si>
    <t>PÇ-2.2</t>
  </si>
  <si>
    <t>Ability to select and apply appropriate analysis and modeling methods for this purpose.</t>
  </si>
  <si>
    <t>ALO-5</t>
  </si>
  <si>
    <t>ALO rule</t>
  </si>
  <si>
    <t>Define ALOs consecutively from ALO-1. Up to five ALOs are supported.</t>
  </si>
  <si>
    <t>Q5</t>
  </si>
  <si>
    <t>Create</t>
  </si>
  <si>
    <t>Generate, plan, or produce a new solution or product</t>
  </si>
  <si>
    <t>PO-6</t>
  </si>
  <si>
    <t>Experimentation, data interpretation, and engineering judgment</t>
  </si>
  <si>
    <t>Making Judgements</t>
  </si>
  <si>
    <t>PÇ-3.1</t>
  </si>
  <si>
    <t>Ability to design a complex system, process, device, or product to meet specified requirements under realistic constraints and conditions.</t>
  </si>
  <si>
    <t>PO-7</t>
  </si>
  <si>
    <t>Acquire and apply new knowledge</t>
  </si>
  <si>
    <t>Communication and Team-working</t>
  </si>
  <si>
    <t>PÇ-3.2</t>
  </si>
  <si>
    <t>Ability to apply modern design methods for this purpose.</t>
  </si>
  <si>
    <t>PO-8</t>
  </si>
  <si>
    <t>Lifelong Learning</t>
  </si>
  <si>
    <t>PÇ-4.1</t>
  </si>
  <si>
    <t>Ability to develop, select, and use modern techniques and tools required for the analysis and solution of complex problems encountered in engineering practice.</t>
  </si>
  <si>
    <t>PÇ-4.2</t>
  </si>
  <si>
    <t>Ability to use information technologies effectively.</t>
  </si>
  <si>
    <t>PÇ-5.1</t>
  </si>
  <si>
    <t>Ability to design experiments for the investigation of complex engineering problems or discipline-specific research topics.</t>
  </si>
  <si>
    <t>PÇ-5.2</t>
  </si>
  <si>
    <t>Ability to conduct experiments for the investigation of complex engineering problems or discipline-specific research topics.</t>
  </si>
  <si>
    <t>PÇ-5.3</t>
  </si>
  <si>
    <t>Ability to collect data for the investigation of complex engineering problems or discipline-specific research topics.</t>
  </si>
  <si>
    <t>PÇ-5.4</t>
  </si>
  <si>
    <t>Ability to analyze and interpret experimental results for the investigation of complex engineering problems or discipline-specific research topics.</t>
  </si>
  <si>
    <t>PÇ-6.1</t>
  </si>
  <si>
    <t>Ability to work individually within the discipline.</t>
  </si>
  <si>
    <t>PÇ-6.2</t>
  </si>
  <si>
    <t>Ability to work effectively in disciplinary teams.</t>
  </si>
  <si>
    <t>PÇ-6.3</t>
  </si>
  <si>
    <t>Ability to work effectively in multidisciplinary teams.</t>
  </si>
  <si>
    <t>PÇ-7.1</t>
  </si>
  <si>
    <t>Ability to communicate effectively in oral and written form and to make presentations.</t>
  </si>
  <si>
    <t>PÇ-7.2</t>
  </si>
  <si>
    <t>Knowledge of at least one foreign language.</t>
  </si>
  <si>
    <t>PÇ-7.3</t>
  </si>
  <si>
    <t>Ability to write effective reports and understand written reports.</t>
  </si>
  <si>
    <t>PÇ-7.4</t>
  </si>
  <si>
    <t>Ability to prepare design and production reports.</t>
  </si>
  <si>
    <t>PÇ-7.5</t>
  </si>
  <si>
    <t>Ability to give and receive clear and understandable instructions.</t>
  </si>
  <si>
    <t>PÇ-8.1</t>
  </si>
  <si>
    <t>Awareness of the necessity of lifelong learning.</t>
  </si>
  <si>
    <t>PÇ-8.2</t>
  </si>
  <si>
    <t>Ability to access information, follow developments in science and technology, and continuously renew oneself.</t>
  </si>
  <si>
    <t>PÇ-9.1</t>
  </si>
  <si>
    <t>Awareness of professional and ethical responsibility and the ability to act in accordance with ethical principles.</t>
  </si>
  <si>
    <t>PÇ-9.2</t>
  </si>
  <si>
    <t>Knowledge of standards used in engineering practice.</t>
  </si>
  <si>
    <t>PÇ-10.1</t>
  </si>
  <si>
    <t>Knowledge of practices in professional life such as project management, risk management, and change management.</t>
  </si>
  <si>
    <t>PÇ-10.2</t>
  </si>
  <si>
    <t>Awareness of entrepreneurship and innovation.</t>
  </si>
  <si>
    <t>PÇ-10.3</t>
  </si>
  <si>
    <t>Knowledge of sustainable development.</t>
  </si>
  <si>
    <t>PÇ-11.1</t>
  </si>
  <si>
    <t>Knowledge of the impacts of engineering practices on health, the environment, and safety at universal and societal scales, and of contemporary issues reflected in the engineering profession.</t>
  </si>
  <si>
    <t>PÇ-11.2</t>
  </si>
  <si>
    <t>Awareness of the legal consequences of engineering solutions.</t>
  </si>
  <si>
    <t>Activity topic</t>
  </si>
  <si>
    <t>Activity ID</t>
  </si>
  <si>
    <t>Activity version</t>
  </si>
  <si>
    <t>1.0</t>
  </si>
  <si>
    <t>Publication date</t>
  </si>
  <si>
    <t>12 August 2026</t>
  </si>
  <si>
    <t>CEMBench ASM version</t>
  </si>
  <si>
    <t>at least 1.0.0</t>
  </si>
  <si>
    <t>Reference activity</t>
  </si>
  <si>
    <t>None</t>
  </si>
  <si>
    <t>Reference video</t>
  </si>
  <si>
    <t>Contributor</t>
  </si>
  <si>
    <t>name</t>
  </si>
  <si>
    <t>Selami Demir</t>
  </si>
  <si>
    <t>email</t>
  </si>
  <si>
    <t>seldemir@yildiz.edu.tr</t>
  </si>
  <si>
    <t>institution</t>
  </si>
  <si>
    <t>Yıldız Technical University</t>
  </si>
  <si>
    <t>department</t>
  </si>
  <si>
    <t>Department of Environmental Engineering</t>
  </si>
  <si>
    <t>Purpose and Scope</t>
  </si>
  <si>
    <t>Target students</t>
  </si>
  <si>
    <t>Undergraduate, beginner level</t>
  </si>
  <si>
    <t>Timing</t>
  </si>
  <si>
    <t>Mode of use</t>
  </si>
  <si>
    <t>In-class activity or homework</t>
  </si>
  <si>
    <t>Guidance level</t>
  </si>
  <si>
    <t>Guided</t>
  </si>
  <si>
    <t>ETC</t>
  </si>
  <si>
    <t>Highest Bloom</t>
  </si>
  <si>
    <t>Level</t>
  </si>
  <si>
    <t>Justification</t>
  </si>
  <si>
    <t>Prerequisites</t>
  </si>
  <si>
    <t>Activity Learning Outcomes (ALOs)</t>
  </si>
  <si>
    <t>Program Outcomes (POs) and Bloom Mapping</t>
  </si>
  <si>
    <t>Question ID</t>
  </si>
  <si>
    <t>ALOs</t>
  </si>
  <si>
    <t>ABET POs</t>
  </si>
  <si>
    <t>EUR-ACE POs</t>
  </si>
  <si>
    <t>MÜDEK POs</t>
  </si>
  <si>
    <t>Bloom level</t>
  </si>
  <si>
    <t>Recommended Implementation (In-Class)</t>
  </si>
  <si>
    <t>Preparation</t>
  </si>
  <si>
    <t>Opening</t>
  </si>
  <si>
    <t>Guidance</t>
  </si>
  <si>
    <t>Discussion</t>
  </si>
  <si>
    <t>Recommended Implementation (Homework)</t>
  </si>
  <si>
    <t>Assignment Release</t>
  </si>
  <si>
    <t>Support and Resources</t>
  </si>
  <si>
    <t>Submission</t>
  </si>
  <si>
    <t>Evaluation &amp; Feedback</t>
  </si>
  <si>
    <t>ALO</t>
  </si>
  <si>
    <t>Question</t>
  </si>
  <si>
    <t>Model template</t>
  </si>
  <si>
    <t>Topology figure</t>
  </si>
  <si>
    <t>Instructions</t>
  </si>
  <si>
    <t>Topology and CEMBench ASM Setup</t>
  </si>
  <si>
    <t>Characterizat'n</t>
  </si>
  <si>
    <t>Influent</t>
  </si>
  <si>
    <r>
      <t>100 m</t>
    </r>
    <r>
      <rPr>
        <vertAlign val="superscript"/>
        <sz val="11"/>
        <color theme="1"/>
        <rFont val="Aptos Narrow"/>
        <family val="2"/>
      </rPr>
      <t>3</t>
    </r>
    <r>
      <rPr>
        <sz val="11"/>
        <color theme="1"/>
        <rFont val="Aptos Narrow"/>
        <family val="2"/>
      </rPr>
      <t>/h</t>
    </r>
  </si>
  <si>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250 mg/L; X</t>
    </r>
    <r>
      <rPr>
        <vertAlign val="subscript"/>
        <sz val="11"/>
        <color theme="1"/>
        <rFont val="Aptos Narrow"/>
        <family val="2"/>
      </rPr>
      <t>H</t>
    </r>
    <r>
      <rPr>
        <sz val="11"/>
        <color theme="1"/>
        <rFont val="Aptos Narrow"/>
        <family val="2"/>
      </rPr>
      <t xml:space="preserve"> = 0 mg/L</t>
    </r>
  </si>
  <si>
    <t>Pattern</t>
  </si>
  <si>
    <t>Flow</t>
  </si>
  <si>
    <t>Default Multiplicative</t>
  </si>
  <si>
    <t>Area</t>
  </si>
  <si>
    <t>Depth</t>
  </si>
  <si>
    <t>Initials</t>
  </si>
  <si>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5 mg/L; X</t>
    </r>
    <r>
      <rPr>
        <vertAlign val="subscript"/>
        <sz val="11"/>
        <color theme="1"/>
        <rFont val="Aptos Narrow"/>
        <family val="2"/>
      </rPr>
      <t>H</t>
    </r>
    <r>
      <rPr>
        <sz val="11"/>
        <color theme="1"/>
        <rFont val="Aptos Narrow"/>
        <family val="2"/>
      </rPr>
      <t xml:space="preserve"> = 1000 mg/L</t>
    </r>
  </si>
  <si>
    <t>5 m</t>
  </si>
  <si>
    <t>Aeration</t>
  </si>
  <si>
    <t>Constant DO @ 2 mg/L</t>
  </si>
  <si>
    <t>Reactor</t>
  </si>
  <si>
    <t>Simulat'n settings</t>
  </si>
  <si>
    <t>Insert CEMBench ASM topology screenshot here</t>
  </si>
  <si>
    <t>Requir'd submiss'n</t>
  </si>
  <si>
    <t>Introductory S-X Model.cbt</t>
  </si>
  <si>
    <t>Inlet layer</t>
  </si>
  <si>
    <t>Clarifier</t>
  </si>
  <si>
    <t>RAS flow</t>
  </si>
  <si>
    <t>Effect of hydraulic retention time on substrate removal in an activated-sludge process</t>
  </si>
  <si>
    <t>This activity introduces hydraulic retention time (HRT) as an operating and design parameter of an activated-sludge reactor. Students use a fixed activated-sludge topology, while varying only the aerated-reactor volume. For each reactor volume, students calculate HRT, obtain the steady-state effluent substrate concentration using CEMBench ASM, calculate substrate removal efficiency, and examine the relationship between HRT and carbon-removal performance.</t>
  </si>
  <si>
    <t>After the fundamental activated sludge process, RAS and WAS are introduced.</t>
  </si>
  <si>
    <t>Approximately 30-40 minutes, excluding any instructor-led discussion</t>
  </si>
  <si>
    <t>The student will be able to analyze the effect of reactor hydraulic retention time on steady-state substrate removal using HRT calculations and CEMBench ASM simulation results.</t>
  </si>
  <si>
    <t xml:space="preserve">The student generates and organizes results from multiple steady-state simulations, relates reactor volume to HRT, calculates substrate removal efficiency, and analyzes the resulting HRT-performance relationship. </t>
  </si>
  <si>
    <t>Basic concepts: activated-sludge treatment, secondary clarification, RAS, WAS, hydraulic retention time, and substrate removal.
Basic CEMBench ASM skills: creating a project from a template, drawing a topology, defining characterizations and unit properties, defining known-flow links, running Project Check, performing a steady-state simulation, and reading steady-state results.</t>
  </si>
  <si>
    <t>CB-002</t>
  </si>
  <si>
    <t>WAS flow</t>
  </si>
  <si>
    <r>
      <t>200 m</t>
    </r>
    <r>
      <rPr>
        <vertAlign val="superscript"/>
        <sz val="11"/>
        <color theme="1"/>
        <rFont val="Aptos Narrow"/>
        <family val="2"/>
      </rPr>
      <t>2</t>
    </r>
  </si>
  <si>
    <t>3 m</t>
  </si>
  <si>
    <r>
      <t>1.5 m</t>
    </r>
    <r>
      <rPr>
        <vertAlign val="superscript"/>
        <sz val="11"/>
        <color theme="1"/>
        <rFont val="Aptos Narrow"/>
        <family val="2"/>
      </rPr>
      <t>3</t>
    </r>
    <r>
      <rPr>
        <sz val="11"/>
        <color theme="1"/>
        <rFont val="Aptos Narrow"/>
        <family val="2"/>
      </rPr>
      <t>/h</t>
    </r>
  </si>
  <si>
    <t>Steady-state simulation</t>
  </si>
  <si>
    <r>
      <rPr>
        <b/>
        <sz val="11"/>
        <color theme="1"/>
        <rFont val="Aptos Narrow"/>
        <family val="2"/>
      </rPr>
      <t>1.</t>
    </r>
    <r>
      <rPr>
        <sz val="11"/>
        <color theme="1"/>
        <rFont val="Aptos Narrow"/>
        <family val="2"/>
      </rPr>
      <t xml:space="preserve"> Complete written answer to Q1 including your chart.
</t>
    </r>
    <r>
      <rPr>
        <b/>
        <sz val="11"/>
        <color theme="1"/>
        <rFont val="Aptos Narrow"/>
        <family val="2"/>
      </rPr>
      <t>2.</t>
    </r>
    <r>
      <rPr>
        <sz val="11"/>
        <color theme="1"/>
        <rFont val="Aptos Narrow"/>
        <family val="2"/>
      </rPr>
      <t xml:space="preserve"> CEMBench ASM project file (CBM), named Q1.cbm</t>
    </r>
  </si>
  <si>
    <t xml:space="preserve">Review the definition of hydraulic retention time and the role of secondary clarification, RAS, and WAS in an activated-sludge system. </t>
  </si>
  <si>
    <t>Ask: “If the reactor volume is doubled while the influent flow remains unchanged, will substrate removal efficiency also double?” Collect brief predictions before the simulations.</t>
  </si>
  <si>
    <t>Build the topology once. Demonstrate the first steady-state simulation if necessary. Students then change only the aerated-reactor volume, record the results, perform the HRT and removal-efficiency calculations, and construct the HRT–performance plot.</t>
  </si>
  <si>
    <t>Discuss why increasing HRT initially improves substrate removal, why the incremental benefit eventually decreases, and why increasing reactor volume indefinitely is not an efficient way to improve treatment performance.</t>
  </si>
  <si>
    <t>Provide the activity workbook and the required Introductory S-X Model template. Students should have completed CB-001 or otherwise be familiar with secondary clarification, RAS, WAS, and steady-state simulation in CEMBench ASM.</t>
  </si>
  <si>
    <t>Provide the CEMBench ASM user manual and reference video, if available. Clarify software-operation questions when necessary, but do not provide the expected HRT–performance curve or the HRT range at which diminishing improvement begins.</t>
  </si>
  <si>
    <t>Students submit HRT–substrate-removal plot, written interpretation, and the requested Q1.cbm project file.</t>
  </si>
  <si>
    <t>HOW LONG IS LONG ENOUGH?</t>
  </si>
  <si>
    <t>30-40 minutes</t>
  </si>
  <si>
    <r>
      <t>Using the prescribed activated-sludge topology and operating conditions below, investigate the effect of hydraulic retention time (HRT) on steady-state substrate removal. Perform a separate steady-state simulation for each specified aerated-reactor surface area, thereby changing the reactor volume while keeping the depth constant. For every case, calculate the reactor HRT, record the effluent readily biodegradable substrate concentration (S</t>
    </r>
    <r>
      <rPr>
        <vertAlign val="subscript"/>
        <sz val="11"/>
        <color theme="1"/>
        <rFont val="Aptos Narrow"/>
        <family val="2"/>
      </rPr>
      <t>S</t>
    </r>
    <r>
      <rPr>
        <sz val="11"/>
        <color theme="1"/>
        <rFont val="Aptos Narrow"/>
        <family val="2"/>
      </rPr>
      <t>), and calculate the substrate removal efficiency. Plot substrate removal efficiency against HRT and explain the relationship observed. Identify the HRT range beyond which further increases in HRT produce only relatively small improvements in substrate removal</t>
    </r>
  </si>
  <si>
    <r>
      <t>10, 20, 40, 60, 80, 120, 160, 200, 400 m</t>
    </r>
    <r>
      <rPr>
        <vertAlign val="superscript"/>
        <sz val="11"/>
        <color theme="1"/>
        <rFont val="Aptos Narrow"/>
        <family val="2"/>
      </rPr>
      <t>2</t>
    </r>
  </si>
  <si>
    <t>Students complete all nine steady-state simulations independently using the prescribed topology and operating conditions. Only the aerated-reactor surface area is changed between simulations, thereby changing the reactor volume while the depth remains constant.</t>
  </si>
  <si>
    <t>Evaluation should focus on correct HRT and removal-efficiency calculations, correct and consistent CEMBench ASM setup across the nine simulations, correct graphical presentation of the results, and technically sound interpretation of the HRT–performance relationship.</t>
  </si>
  <si>
    <r>
      <rPr>
        <b/>
        <sz val="11"/>
        <color theme="1"/>
        <rFont val="Aptos Narrow"/>
        <family val="2"/>
      </rPr>
      <t xml:space="preserve">1. </t>
    </r>
    <r>
      <rPr>
        <sz val="11"/>
        <color theme="1"/>
        <rFont val="Aptos Narrow"/>
        <family val="2"/>
      </rPr>
      <t xml:space="preserve">Create a new CEMBench ASM project using Introductory S-X Model.cbt.
</t>
    </r>
    <r>
      <rPr>
        <b/>
        <sz val="11"/>
        <color theme="1"/>
        <rFont val="Aptos Narrow"/>
        <family val="2"/>
      </rPr>
      <t>2.</t>
    </r>
    <r>
      <rPr>
        <sz val="11"/>
        <color theme="1"/>
        <rFont val="Aptos Narrow"/>
        <family val="2"/>
      </rPr>
      <t xml:space="preserve"> Build the prescribed topology, including the secondary clarifier, RAS line, and WAS line.
</t>
    </r>
    <r>
      <rPr>
        <b/>
        <sz val="11"/>
        <color theme="1"/>
        <rFont val="Aptos Narrow"/>
        <family val="2"/>
      </rPr>
      <t xml:space="preserve">3. </t>
    </r>
    <r>
      <rPr>
        <sz val="11"/>
        <color theme="1"/>
        <rFont val="Aptos Narrow"/>
        <family val="2"/>
      </rPr>
      <t xml:space="preserve">Define the influent flow, pattern, and characterization given above.
</t>
    </r>
    <r>
      <rPr>
        <b/>
        <sz val="11"/>
        <color theme="1"/>
        <rFont val="Aptos Narrow"/>
        <family val="2"/>
      </rPr>
      <t xml:space="preserve">4. </t>
    </r>
    <r>
      <rPr>
        <sz val="11"/>
        <color theme="1"/>
        <rFont val="Aptos Narrow"/>
        <family val="2"/>
      </rPr>
      <t xml:space="preserve">Define the aerated-reactor initial characterization, depth, and constant-DO setting.
</t>
    </r>
    <r>
      <rPr>
        <b/>
        <sz val="11"/>
        <color theme="1"/>
        <rFont val="Aptos Narrow"/>
        <family val="2"/>
      </rPr>
      <t xml:space="preserve">5. </t>
    </r>
    <r>
      <rPr>
        <sz val="11"/>
        <color theme="1"/>
        <rFont val="Aptos Narrow"/>
        <family val="2"/>
      </rPr>
      <t xml:space="preserve">Define the secondary clarifier and set the RAS and WAS flows as specified.
</t>
    </r>
    <r>
      <rPr>
        <b/>
        <sz val="11"/>
        <color theme="1"/>
        <rFont val="Aptos Narrow"/>
        <family val="2"/>
      </rPr>
      <t xml:space="preserve">6. </t>
    </r>
    <r>
      <rPr>
        <sz val="11"/>
        <color theme="1"/>
        <rFont val="Aptos Narrow"/>
        <family val="2"/>
      </rPr>
      <t xml:space="preserve">Run Project Check and correct any setup errors.
</t>
    </r>
    <r>
      <rPr>
        <b/>
        <sz val="11"/>
        <color theme="1"/>
        <rFont val="Aptos Narrow"/>
        <family val="2"/>
      </rPr>
      <t>7.</t>
    </r>
    <r>
      <rPr>
        <sz val="11"/>
        <color theme="1"/>
        <rFont val="Aptos Narrow"/>
        <family val="2"/>
      </rPr>
      <t xml:space="preserve"> Start with an aerated-reactor surface area of 10 m². With a constant depth of 5 m, this corresponds to a reactor volume of 50 m³.
</t>
    </r>
    <r>
      <rPr>
        <b/>
        <sz val="11"/>
        <color theme="1"/>
        <rFont val="Aptos Narrow"/>
        <family val="2"/>
      </rPr>
      <t xml:space="preserve">8. </t>
    </r>
    <r>
      <rPr>
        <sz val="11"/>
        <color theme="1"/>
        <rFont val="Aptos Narrow"/>
        <family val="2"/>
      </rPr>
      <t>Record the steady-state effluent S</t>
    </r>
    <r>
      <rPr>
        <vertAlign val="subscript"/>
        <sz val="11"/>
        <color theme="1"/>
        <rFont val="Aptos Narrow"/>
        <family val="2"/>
      </rPr>
      <t>S</t>
    </r>
    <r>
      <rPr>
        <sz val="11"/>
        <color theme="1"/>
        <rFont val="Aptos Narrow"/>
        <family val="2"/>
      </rPr>
      <t xml:space="preserve"> concentration.
</t>
    </r>
    <r>
      <rPr>
        <b/>
        <sz val="11"/>
        <color theme="1"/>
        <rFont val="Aptos Narrow"/>
        <family val="2"/>
      </rPr>
      <t xml:space="preserve">9. </t>
    </r>
    <r>
      <rPr>
        <sz val="11"/>
        <color theme="1"/>
        <rFont val="Aptos Narrow"/>
        <family val="2"/>
      </rPr>
      <t xml:space="preserve">Repeat the steady-state simulation for reactor surface areas of 20, 40, 60, 80, 120, 160, 200, and 400 m². Keep the reactor depth at 5 m so that only the reactor volume changes.
</t>
    </r>
    <r>
      <rPr>
        <b/>
        <sz val="11"/>
        <color theme="1"/>
        <rFont val="Aptos Narrow"/>
        <family val="2"/>
      </rPr>
      <t xml:space="preserve">10. </t>
    </r>
    <r>
      <rPr>
        <sz val="11"/>
        <color theme="1"/>
        <rFont val="Aptos Narrow"/>
        <family val="2"/>
      </rPr>
      <t>For every case, obtain the reactor volume calculated by CEMBench ASM and calculate
HRT = V/Q</t>
    </r>
    <r>
      <rPr>
        <vertAlign val="subscript"/>
        <sz val="11"/>
        <color theme="1"/>
        <rFont val="Aptos Narrow"/>
        <family val="2"/>
      </rPr>
      <t>in</t>
    </r>
    <r>
      <rPr>
        <sz val="11"/>
        <color theme="1"/>
        <rFont val="Aptos Narrow"/>
        <family val="2"/>
      </rPr>
      <t>, where Q</t>
    </r>
    <r>
      <rPr>
        <vertAlign val="subscript"/>
        <sz val="11"/>
        <color theme="1"/>
        <rFont val="Aptos Narrow"/>
        <family val="2"/>
      </rPr>
      <t>in</t>
    </r>
    <r>
      <rPr>
        <sz val="11"/>
        <color theme="1"/>
        <rFont val="Aptos Narrow"/>
        <family val="2"/>
      </rPr>
      <t xml:space="preserve"> is the influent flowrate.
</t>
    </r>
    <r>
      <rPr>
        <b/>
        <sz val="11"/>
        <color theme="1"/>
        <rFont val="Aptos Narrow"/>
        <family val="2"/>
      </rPr>
      <t xml:space="preserve">11. </t>
    </r>
    <r>
      <rPr>
        <sz val="11"/>
        <color theme="1"/>
        <rFont val="Aptos Narrow"/>
        <family val="2"/>
      </rPr>
      <t>For every simulation, calculate substrate removal efficiency from the influent and effluent S</t>
    </r>
    <r>
      <rPr>
        <vertAlign val="subscript"/>
        <sz val="11"/>
        <color theme="1"/>
        <rFont val="Aptos Narrow"/>
        <family val="2"/>
      </rPr>
      <t>S</t>
    </r>
    <r>
      <rPr>
        <sz val="11"/>
        <color theme="1"/>
        <rFont val="Aptos Narrow"/>
        <family val="2"/>
      </rPr>
      <t xml:space="preserve"> concentrations as follows:
η = (S</t>
    </r>
    <r>
      <rPr>
        <vertAlign val="subscript"/>
        <sz val="11"/>
        <color theme="1"/>
        <rFont val="Aptos Narrow"/>
        <family val="2"/>
      </rPr>
      <t>0</t>
    </r>
    <r>
      <rPr>
        <sz val="11"/>
        <color theme="1"/>
        <rFont val="Aptos Narrow"/>
        <family val="2"/>
      </rPr>
      <t xml:space="preserve"> - S</t>
    </r>
    <r>
      <rPr>
        <vertAlign val="subscript"/>
        <sz val="11"/>
        <color theme="1"/>
        <rFont val="Aptos Narrow"/>
        <family val="2"/>
      </rPr>
      <t>e</t>
    </r>
    <r>
      <rPr>
        <sz val="11"/>
        <color theme="1"/>
        <rFont val="Aptos Narrow"/>
        <family val="2"/>
      </rPr>
      <t>) / S</t>
    </r>
    <r>
      <rPr>
        <vertAlign val="subscript"/>
        <sz val="11"/>
        <color theme="1"/>
        <rFont val="Aptos Narrow"/>
        <family val="2"/>
      </rPr>
      <t>0</t>
    </r>
    <r>
      <rPr>
        <sz val="11"/>
        <color theme="1"/>
        <rFont val="Aptos Narrow"/>
        <family val="2"/>
      </rPr>
      <t xml:space="preserve"> * 100%
where S</t>
    </r>
    <r>
      <rPr>
        <vertAlign val="subscript"/>
        <sz val="11"/>
        <color theme="1"/>
        <rFont val="Aptos Narrow"/>
        <family val="2"/>
      </rPr>
      <t>0</t>
    </r>
    <r>
      <rPr>
        <sz val="11"/>
        <color theme="1"/>
        <rFont val="Aptos Narrow"/>
        <family val="2"/>
      </rPr>
      <t xml:space="preserve"> and S</t>
    </r>
    <r>
      <rPr>
        <vertAlign val="subscript"/>
        <sz val="11"/>
        <color theme="1"/>
        <rFont val="Aptos Narrow"/>
        <family val="2"/>
      </rPr>
      <t>e</t>
    </r>
    <r>
      <rPr>
        <sz val="11"/>
        <color theme="1"/>
        <rFont val="Aptos Narrow"/>
        <family val="2"/>
      </rPr>
      <t xml:space="preserve"> are the effluent substrate concentrations, respectively.
</t>
    </r>
    <r>
      <rPr>
        <b/>
        <sz val="11"/>
        <color theme="1"/>
        <rFont val="Aptos Narrow"/>
        <family val="2"/>
      </rPr>
      <t xml:space="preserve">12. </t>
    </r>
    <r>
      <rPr>
        <sz val="11"/>
        <color theme="1"/>
        <rFont val="Aptos Narrow"/>
        <family val="2"/>
      </rPr>
      <t xml:space="preserve">Plot substrate removal efficiency (%) against HRT (h).
</t>
    </r>
    <r>
      <rPr>
        <b/>
        <sz val="11"/>
        <color theme="1"/>
        <rFont val="Aptos Narrow"/>
        <family val="2"/>
      </rPr>
      <t xml:space="preserve">13. </t>
    </r>
    <r>
      <rPr>
        <sz val="11"/>
        <color theme="1"/>
        <rFont val="Aptos Narrow"/>
        <family val="2"/>
      </rPr>
      <t xml:space="preserve">Examine the shape of the curve and identify the HRT range beyond which additional HRT provides only a relatively small improvement in substrate removal.
</t>
    </r>
    <r>
      <rPr>
        <b/>
        <sz val="11"/>
        <color theme="1"/>
        <rFont val="Aptos Narrow"/>
        <family val="2"/>
      </rPr>
      <t xml:space="preserve">14. </t>
    </r>
    <r>
      <rPr>
        <sz val="11"/>
        <color theme="1"/>
        <rFont val="Aptos Narrow"/>
        <family val="2"/>
      </rPr>
      <t>Explain why substrate removal efficiency changes with HRT.</t>
    </r>
  </si>
  <si>
    <t>https://youtu.be/0SbTFdjScPc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</si>
</sst>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ont>
    <font>
      <b/>
      <sz val="11"/>
      <color theme="1"/>
      <name val="Aptos Narrow"/>
      <family val="2"/>
    </font>
    <font>
      <b/>
      <sz val="14"/>
      <color theme="1"/>
      <name val="Aptos Narrow"/>
      <family val="2"/>
    </font>
    <font>
      <sz val="11"/>
      <color theme="1"/>
      <name val="Aptos Narrow"/>
      <family val="2"/>
    </font>
    <font>
      <i/>
      <sz val="11"/>
      <color theme="1"/>
      <name val="Aptos Narrow"/>
      <family val="2"/>
    </font>
    <font>
      <b/>
      <sz val="14"/>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
      <u/>
      <sz val="11"/>
      <color theme="10"/>
      <name val="Aptos Narrow"/>
      <family val="2"/>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theme="0" tint="-0.14999847407452621"/>
        <bgColor indexed="65"/>
      </patternFill>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rgb="FFF2F2F2"/>
      </patternFill>
    </fill>
    <fill>
      <patternFill patternType="solid">
        <fgColor rgb="FFD9EAF7"/>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dotted">
        <color theme="0" tint="-0.34998626667073579"/>
      </bottom>
      <diagonal/>
    </border>
    <border>
      <left style="thin">
        <color indexed="64"/>
      </left>
      <right style="thin">
        <color auto="1"/>
      </right>
      <top style="dotted">
        <color theme="0" tint="-0.34998626667073579"/>
      </top>
      <bottom style="dotted">
        <color theme="0" tint="-0.34998626667073579"/>
      </bottom>
      <diagonal/>
    </border>
    <border>
      <left style="thin">
        <color indexed="64"/>
      </left>
      <right style="thin">
        <color auto="1"/>
      </right>
      <top style="dotted">
        <color theme="0" tint="-0.34998626667073579"/>
      </top>
      <bottom style="thin">
        <color indexed="64"/>
      </bottom>
      <diagonal/>
    </border>
    <border>
      <left style="thin">
        <color indexed="64"/>
      </left>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indexed="64"/>
      </right>
      <top style="thin">
        <color indexed="64"/>
      </top>
      <bottom style="dotted">
        <color theme="0" tint="-0.34998626667073579"/>
      </bottom>
      <diagonal/>
    </border>
    <border>
      <left style="thin">
        <color indexed="64"/>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indexed="64"/>
      </right>
      <top style="dotted">
        <color theme="0" tint="-0.34998626667073579"/>
      </top>
      <bottom style="dotted">
        <color theme="0" tint="-0.34998626667073579"/>
      </bottom>
      <diagonal/>
    </border>
    <border>
      <left style="thin">
        <color indexed="64"/>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indexed="64"/>
      </right>
      <top style="dotted">
        <color theme="0" tint="-0.34998626667073579"/>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thin">
        <color indexed="64"/>
      </right>
      <top style="dotted">
        <color theme="0" tint="-0.34998626667073579"/>
      </top>
      <bottom style="dotted">
        <color theme="0" tint="-0.34998626667073579"/>
      </bottom>
      <diagonal/>
    </border>
    <border>
      <left style="thin">
        <color indexed="64"/>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thin">
        <color indexed="64"/>
      </right>
      <top style="dotted">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theme="0" tint="-0.34998626667073579"/>
      </top>
      <bottom/>
      <diagonal/>
    </border>
    <border>
      <left/>
      <right/>
      <top style="dotted">
        <color theme="0" tint="-0.34998626667073579"/>
      </top>
      <bottom/>
      <diagonal/>
    </border>
    <border>
      <left/>
      <right style="thin">
        <color indexed="64"/>
      </right>
      <top style="dotted">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dotted">
        <color theme="0" tint="-0.34998626667073579"/>
      </bottom>
      <diagonal/>
    </border>
    <border>
      <left style="thin">
        <color indexed="64"/>
      </left>
      <right/>
      <top/>
      <bottom style="dotted">
        <color theme="0" tint="-0.34998626667073579"/>
      </bottom>
      <diagonal/>
    </border>
    <border>
      <left/>
      <right/>
      <top/>
      <bottom style="dotted">
        <color theme="0" tint="-0.34998626667073579"/>
      </bottom>
      <diagonal/>
    </border>
    <border>
      <left style="thin">
        <color indexed="64"/>
      </left>
      <right style="thin">
        <color indexed="64"/>
      </right>
      <top/>
      <bottom/>
      <diagonal/>
    </border>
    <border>
      <left style="thin">
        <color indexed="64"/>
      </left>
      <right style="thin">
        <color indexed="64"/>
      </right>
      <top/>
      <bottom style="dotted">
        <color theme="0" tint="-0.34998626667073579"/>
      </bottom>
      <diagonal/>
    </border>
    <border>
      <left style="thin">
        <color indexed="64"/>
      </left>
      <right style="thin">
        <color indexed="64"/>
      </right>
      <top style="dotted">
        <color theme="0" tint="-0.34998626667073579"/>
      </top>
      <bottom/>
      <diagonal/>
    </border>
  </borders>
  <cellStyleXfs count="2">
    <xf numFmtId="0" fontId="0" fillId="0" borderId="0"/>
    <xf numFmtId="0" fontId="9" fillId="0" borderId="0" applyNumberFormat="0" applyFill="0" applyBorder="0" applyAlignment="0" applyProtection="0"/>
  </cellStyleXfs>
  <cellXfs count="181">
    <xf numFmtId="0" fontId="0" fillId="0" borderId="0" xfId="0"/>
    <xf numFmtId="0" fontId="0" fillId="2" borderId="0" xfId="0" applyFill="1"/>
    <xf numFmtId="0" fontId="0" fillId="2" borderId="0" xfId="0" applyFill="1" applyAlignment="1">
      <alignment horizontal="center" vertical="top" wrapText="1"/>
    </xf>
    <xf numFmtId="0" fontId="0" fillId="0" borderId="0" xfId="0" applyAlignment="1">
      <alignment vertical="top" wrapText="1"/>
    </xf>
    <xf numFmtId="0" fontId="1" fillId="3" borderId="0" xfId="0" applyFont="1" applyFill="1" applyAlignment="1">
      <alignment vertical="top" wrapText="1"/>
    </xf>
    <xf numFmtId="0" fontId="1" fillId="3" borderId="29" xfId="0" applyFont="1" applyFill="1" applyBorder="1" applyAlignment="1">
      <alignment vertical="top" wrapText="1"/>
    </xf>
    <xf numFmtId="0" fontId="0" fillId="0" borderId="29" xfId="0" applyBorder="1" applyAlignment="1">
      <alignment vertical="top" wrapText="1"/>
    </xf>
    <xf numFmtId="0" fontId="0" fillId="6" borderId="34" xfId="0" applyFill="1" applyBorder="1" applyAlignment="1">
      <alignment vertical="top" wrapText="1"/>
    </xf>
    <xf numFmtId="0" fontId="0" fillId="6" borderId="35" xfId="0" applyFill="1" applyBorder="1" applyAlignment="1">
      <alignment vertical="top" wrapText="1"/>
    </xf>
    <xf numFmtId="0" fontId="1" fillId="3" borderId="36" xfId="0" applyFont="1" applyFill="1" applyBorder="1" applyAlignment="1">
      <alignment vertical="top" wrapText="1"/>
    </xf>
    <xf numFmtId="0" fontId="0" fillId="0" borderId="36" xfId="0" applyBorder="1" applyAlignment="1">
      <alignment vertical="top" wrapText="1"/>
    </xf>
    <xf numFmtId="0" fontId="1" fillId="9" borderId="0" xfId="0" applyFont="1" applyFill="1"/>
    <xf numFmtId="0" fontId="6"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38" xfId="0" applyFont="1" applyBorder="1" applyAlignment="1">
      <alignment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2" fillId="2" borderId="0" xfId="0" applyFont="1" applyFill="1" applyAlignment="1">
      <alignment horizontal="center" vertical="center"/>
    </xf>
    <xf numFmtId="0" fontId="1" fillId="4" borderId="6" xfId="0" applyFont="1" applyFill="1" applyBorder="1" applyAlignment="1">
      <alignment textRotation="90"/>
    </xf>
    <xf numFmtId="0" fontId="1" fillId="4" borderId="7" xfId="0" applyFont="1" applyFill="1" applyBorder="1" applyAlignment="1">
      <alignment textRotation="90"/>
    </xf>
    <xf numFmtId="0" fontId="1" fillId="4" borderId="5" xfId="0" applyFont="1" applyFill="1" applyBorder="1"/>
    <xf numFmtId="0" fontId="1" fillId="4" borderId="6" xfId="0" applyFont="1" applyFill="1" applyBorder="1"/>
    <xf numFmtId="0" fontId="1" fillId="4" borderId="7" xfId="0" applyFont="1" applyFill="1" applyBorder="1"/>
    <xf numFmtId="0" fontId="1" fillId="4" borderId="1" xfId="0" applyFont="1" applyFill="1" applyBorder="1" applyAlignment="1">
      <alignment horizontal="left" vertical="top"/>
    </xf>
    <xf numFmtId="0" fontId="1" fillId="4" borderId="6" xfId="0" applyFont="1" applyFill="1" applyBorder="1" applyAlignment="1">
      <alignment horizontal="left"/>
    </xf>
    <xf numFmtId="0" fontId="0" fillId="6" borderId="6" xfId="0" applyFill="1" applyBorder="1" applyAlignment="1">
      <alignment horizontal="left"/>
    </xf>
    <xf numFmtId="49" fontId="0" fillId="6" borderId="6" xfId="0" applyNumberFormat="1" applyFill="1" applyBorder="1" applyAlignment="1">
      <alignment horizontal="left"/>
    </xf>
    <xf numFmtId="49" fontId="0" fillId="5" borderId="6" xfId="0" applyNumberFormat="1" applyFill="1" applyBorder="1" applyAlignment="1">
      <alignment horizontal="left"/>
    </xf>
    <xf numFmtId="49" fontId="3" fillId="5" borderId="5" xfId="0" applyNumberFormat="1" applyFont="1" applyFill="1" applyBorder="1" applyAlignment="1">
      <alignment horizontal="left"/>
    </xf>
    <xf numFmtId="49" fontId="0" fillId="5" borderId="5" xfId="0" applyNumberFormat="1" applyFill="1" applyBorder="1" applyAlignment="1">
      <alignment horizontal="left"/>
    </xf>
    <xf numFmtId="0" fontId="0" fillId="5" borderId="6" xfId="0" applyFill="1" applyBorder="1" applyAlignment="1">
      <alignment horizontal="left"/>
    </xf>
    <xf numFmtId="0" fontId="0" fillId="6" borderId="7" xfId="0" applyFill="1" applyBorder="1" applyAlignment="1">
      <alignment horizontal="left"/>
    </xf>
    <xf numFmtId="0" fontId="3" fillId="5" borderId="1" xfId="0" applyFont="1" applyFill="1" applyBorder="1" applyAlignment="1">
      <alignment horizontal="justify" vertical="top" wrapText="1"/>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0" fillId="5" borderId="5" xfId="0" applyFill="1" applyBorder="1" applyAlignment="1">
      <alignment horizontal="justify" vertical="top" wrapText="1"/>
    </xf>
    <xf numFmtId="0" fontId="4" fillId="6" borderId="33" xfId="0" applyFont="1" applyFill="1" applyBorder="1" applyAlignment="1">
      <alignment horizontal="left" vertical="top" wrapText="1"/>
    </xf>
    <xf numFmtId="0" fontId="4" fillId="6" borderId="34" xfId="0" applyFont="1" applyFill="1" applyBorder="1" applyAlignment="1">
      <alignment horizontal="left" vertical="top" wrapText="1"/>
    </xf>
    <xf numFmtId="0" fontId="0" fillId="5" borderId="1" xfId="0" applyFill="1" applyBorder="1" applyAlignment="1">
      <alignment horizontal="justify" vertical="top" wrapText="1"/>
    </xf>
    <xf numFmtId="0" fontId="3" fillId="6" borderId="6" xfId="0" applyFont="1" applyFill="1" applyBorder="1" applyAlignment="1">
      <alignment horizontal="justify" vertical="top" wrapText="1"/>
    </xf>
    <xf numFmtId="0" fontId="0" fillId="6" borderId="6" xfId="0" applyFill="1" applyBorder="1" applyAlignment="1">
      <alignment horizontal="justify" vertical="top" wrapText="1"/>
    </xf>
    <xf numFmtId="0" fontId="0" fillId="5" borderId="6" xfId="0" applyFill="1" applyBorder="1" applyAlignment="1">
      <alignment horizontal="justify" vertical="top" wrapText="1"/>
    </xf>
    <xf numFmtId="0" fontId="3" fillId="5" borderId="6" xfId="0" applyFont="1" applyFill="1" applyBorder="1" applyAlignment="1">
      <alignment horizontal="justify" vertical="top" wrapText="1"/>
    </xf>
    <xf numFmtId="0" fontId="3" fillId="5" borderId="31" xfId="0" applyFont="1" applyFill="1" applyBorder="1" applyAlignment="1">
      <alignment horizontal="justify" vertical="top" wrapText="1"/>
    </xf>
    <xf numFmtId="0" fontId="0" fillId="5" borderId="31" xfId="0" applyFill="1" applyBorder="1" applyAlignment="1">
      <alignment horizontal="justify" vertical="top" wrapText="1"/>
    </xf>
    <xf numFmtId="0" fontId="0" fillId="5" borderId="32" xfId="0" applyFill="1" applyBorder="1" applyAlignment="1">
      <alignment horizontal="justify" vertical="top" wrapText="1"/>
    </xf>
    <xf numFmtId="0" fontId="1" fillId="4" borderId="5" xfId="0" applyFont="1" applyFill="1" applyBorder="1" applyAlignment="1">
      <alignment horizontal="left"/>
    </xf>
    <xf numFmtId="0" fontId="1" fillId="4" borderId="11" xfId="0" applyFont="1" applyFill="1" applyBorder="1" applyAlignment="1">
      <alignment horizontal="left" vertical="top" wrapText="1"/>
    </xf>
    <xf numFmtId="0" fontId="1" fillId="4" borderId="12" xfId="0" applyFont="1" applyFill="1" applyBorder="1" applyAlignment="1">
      <alignment horizontal="left" vertical="top" wrapText="1"/>
    </xf>
    <xf numFmtId="0" fontId="3" fillId="5" borderId="12" xfId="0" applyFont="1" applyFill="1" applyBorder="1" applyAlignment="1">
      <alignment horizontal="justify" vertical="top" wrapText="1"/>
    </xf>
    <xf numFmtId="0" fontId="0" fillId="5" borderId="12" xfId="0" applyFill="1" applyBorder="1" applyAlignment="1">
      <alignment horizontal="justify" vertical="top" wrapText="1"/>
    </xf>
    <xf numFmtId="0" fontId="0" fillId="5" borderId="13" xfId="0" applyFill="1" applyBorder="1" applyAlignment="1">
      <alignment horizontal="justify"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3" fillId="5" borderId="15" xfId="0" applyFont="1" applyFill="1" applyBorder="1" applyAlignment="1">
      <alignment horizontal="justify" vertical="top" wrapText="1"/>
    </xf>
    <xf numFmtId="0" fontId="0" fillId="5" borderId="15" xfId="0" applyFill="1" applyBorder="1" applyAlignment="1">
      <alignment horizontal="justify" vertical="top" wrapText="1"/>
    </xf>
    <xf numFmtId="0" fontId="0" fillId="5" borderId="16" xfId="0" applyFill="1" applyBorder="1" applyAlignment="1">
      <alignment horizontal="justify" vertical="top" wrapText="1"/>
    </xf>
    <xf numFmtId="0" fontId="3" fillId="5" borderId="3" xfId="0" applyFont="1" applyFill="1" applyBorder="1" applyAlignment="1">
      <alignment horizontal="justify" vertical="top" wrapText="1"/>
    </xf>
    <xf numFmtId="0" fontId="0" fillId="5" borderId="3" xfId="0" applyFill="1" applyBorder="1" applyAlignment="1">
      <alignment horizontal="justify" vertical="top" wrapText="1"/>
    </xf>
    <xf numFmtId="0" fontId="0" fillId="5" borderId="4" xfId="0" applyFill="1" applyBorder="1" applyAlignment="1">
      <alignment horizontal="justify"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1" fillId="4" borderId="6" xfId="0" applyFont="1" applyFill="1" applyBorder="1" applyAlignment="1">
      <alignment horizontal="left" vertical="top"/>
    </xf>
    <xf numFmtId="0" fontId="1" fillId="4" borderId="33" xfId="0" applyFont="1" applyFill="1" applyBorder="1" applyAlignment="1">
      <alignment horizontal="center" vertical="center" textRotation="90" wrapText="1"/>
    </xf>
    <xf numFmtId="0" fontId="1" fillId="4" borderId="30" xfId="0" applyFont="1" applyFill="1" applyBorder="1" applyAlignment="1">
      <alignment horizontal="center" vertical="center" textRotation="90" wrapText="1"/>
    </xf>
    <xf numFmtId="0" fontId="1" fillId="4" borderId="34" xfId="0" applyFont="1" applyFill="1" applyBorder="1" applyAlignment="1">
      <alignment horizontal="left" vertical="top" wrapText="1"/>
    </xf>
    <xf numFmtId="0" fontId="1" fillId="4" borderId="35" xfId="0" applyFont="1" applyFill="1" applyBorder="1" applyAlignment="1">
      <alignment horizontal="left" vertical="top" wrapText="1"/>
    </xf>
    <xf numFmtId="0" fontId="1" fillId="4" borderId="31" xfId="0" applyFont="1" applyFill="1" applyBorder="1" applyAlignment="1">
      <alignment horizontal="left" vertical="top" wrapText="1"/>
    </xf>
    <xf numFmtId="0" fontId="1" fillId="4" borderId="32" xfId="0" applyFont="1" applyFill="1" applyBorder="1" applyAlignment="1">
      <alignment horizontal="left" vertical="top" wrapText="1"/>
    </xf>
    <xf numFmtId="0" fontId="3" fillId="6" borderId="12" xfId="0" applyFont="1" applyFill="1" applyBorder="1" applyAlignment="1">
      <alignment horizontal="justify" vertical="top" wrapText="1"/>
    </xf>
    <xf numFmtId="0" fontId="0" fillId="6" borderId="12" xfId="0" applyFill="1" applyBorder="1" applyAlignment="1">
      <alignment horizontal="justify" vertical="top" wrapText="1"/>
    </xf>
    <xf numFmtId="0" fontId="0" fillId="6" borderId="13" xfId="0" applyFill="1" applyBorder="1" applyAlignment="1">
      <alignment horizontal="justify" vertical="top" wrapText="1"/>
    </xf>
    <xf numFmtId="0" fontId="1"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5" borderId="9" xfId="0" applyFont="1" applyFill="1" applyBorder="1" applyAlignment="1">
      <alignment horizontal="justify" vertical="top" wrapText="1"/>
    </xf>
    <xf numFmtId="0" fontId="0" fillId="5" borderId="9" xfId="0" applyFill="1" applyBorder="1" applyAlignment="1">
      <alignment horizontal="justify" vertical="top" wrapText="1"/>
    </xf>
    <xf numFmtId="0" fontId="0" fillId="5" borderId="10" xfId="0" applyFill="1" applyBorder="1" applyAlignment="1">
      <alignment horizontal="justify" vertical="top" wrapText="1"/>
    </xf>
    <xf numFmtId="0" fontId="0" fillId="7" borderId="21" xfId="0"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0" fillId="7" borderId="20" xfId="0" applyFill="1" applyBorder="1" applyAlignment="1">
      <alignment horizontal="center" vertical="center"/>
    </xf>
    <xf numFmtId="0" fontId="3" fillId="7" borderId="21" xfId="0" applyFont="1" applyFill="1" applyBorder="1" applyAlignment="1">
      <alignment horizontal="center" vertical="center"/>
    </xf>
    <xf numFmtId="0" fontId="1" fillId="4" borderId="17" xfId="0" applyFont="1" applyFill="1" applyBorder="1" applyAlignment="1">
      <alignment horizontal="center" vertical="center"/>
    </xf>
    <xf numFmtId="0" fontId="0" fillId="7" borderId="24" xfId="0"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3" fillId="7" borderId="23" xfId="0" applyFont="1" applyFill="1" applyBorder="1" applyAlignment="1">
      <alignment horizontal="center" vertical="center"/>
    </xf>
    <xf numFmtId="0" fontId="0" fillId="7" borderId="27" xfId="0"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0" fillId="7" borderId="26" xfId="0" applyFill="1" applyBorder="1" applyAlignment="1">
      <alignment horizontal="center" vertical="center"/>
    </xf>
    <xf numFmtId="0" fontId="1" fillId="4" borderId="5" xfId="0" applyFont="1" applyFill="1" applyBorder="1" applyAlignment="1">
      <alignment horizontal="left" vertical="top"/>
    </xf>
    <xf numFmtId="0" fontId="1" fillId="4" borderId="7" xfId="0" applyFont="1" applyFill="1" applyBorder="1" applyAlignment="1">
      <alignment horizontal="left" vertical="top"/>
    </xf>
    <xf numFmtId="0" fontId="3" fillId="5" borderId="8" xfId="0" applyFont="1" applyFill="1" applyBorder="1" applyAlignment="1">
      <alignment horizontal="justify" vertical="top" wrapText="1"/>
    </xf>
    <xf numFmtId="0" fontId="3" fillId="6" borderId="11" xfId="0" applyFont="1" applyFill="1" applyBorder="1" applyAlignment="1">
      <alignment horizontal="justify" vertical="top" wrapText="1"/>
    </xf>
    <xf numFmtId="0" fontId="3" fillId="5" borderId="11" xfId="0" applyFont="1" applyFill="1" applyBorder="1" applyAlignment="1">
      <alignment horizontal="justify" vertical="top" wrapText="1"/>
    </xf>
    <xf numFmtId="0" fontId="3" fillId="6" borderId="14" xfId="0" applyFont="1" applyFill="1" applyBorder="1" applyAlignment="1">
      <alignment horizontal="justify" vertical="top" wrapText="1"/>
    </xf>
    <xf numFmtId="0" fontId="0" fillId="6" borderId="15" xfId="0" applyFill="1" applyBorder="1" applyAlignment="1">
      <alignment horizontal="justify" vertical="top" wrapText="1"/>
    </xf>
    <xf numFmtId="0" fontId="0" fillId="6" borderId="16" xfId="0" applyFill="1" applyBorder="1" applyAlignment="1">
      <alignment horizontal="justify" vertical="top" wrapText="1"/>
    </xf>
    <xf numFmtId="0" fontId="3" fillId="5" borderId="14" xfId="0" applyFont="1" applyFill="1" applyBorder="1" applyAlignment="1">
      <alignment horizontal="justify" vertical="top" wrapText="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1" fillId="0" borderId="36" xfId="0" applyFont="1" applyBorder="1" applyAlignment="1">
      <alignment horizontal="left" vertical="top" wrapText="1"/>
    </xf>
    <xf numFmtId="0" fontId="3" fillId="0" borderId="36" xfId="0" applyFont="1" applyBorder="1" applyAlignment="1">
      <alignment horizontal="justify"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3" fillId="0" borderId="12" xfId="0" applyFont="1" applyBorder="1" applyAlignment="1">
      <alignment horizontal="justify" vertical="top" wrapText="1"/>
    </xf>
    <xf numFmtId="0" fontId="3" fillId="0" borderId="13" xfId="0" applyFont="1" applyBorder="1" applyAlignment="1">
      <alignment horizontal="justify" vertical="top" wrapText="1"/>
    </xf>
    <xf numFmtId="0" fontId="6"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46" xfId="0" applyFont="1" applyBorder="1" applyAlignment="1">
      <alignment horizontal="center" vertical="center" textRotation="90" wrapText="1"/>
    </xf>
    <xf numFmtId="0" fontId="1" fillId="0" borderId="44" xfId="0" applyFont="1" applyBorder="1" applyAlignment="1">
      <alignment horizontal="center" vertical="center" textRotation="90" wrapText="1"/>
    </xf>
    <xf numFmtId="0" fontId="1" fillId="0" borderId="45" xfId="0" applyFont="1" applyBorder="1" applyAlignment="1">
      <alignment horizontal="center" vertical="center" textRotation="90"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3" fillId="0" borderId="38" xfId="0" applyFont="1" applyBorder="1" applyAlignment="1">
      <alignment horizontal="left" vertical="top" wrapText="1"/>
    </xf>
    <xf numFmtId="0" fontId="3" fillId="0" borderId="39" xfId="0" applyFont="1" applyBorder="1" applyAlignment="1">
      <alignment horizontal="left" vertical="top" wrapText="1"/>
    </xf>
    <xf numFmtId="0" fontId="3" fillId="0" borderId="11" xfId="0" applyFont="1" applyBorder="1" applyAlignment="1">
      <alignment horizontal="justify" vertical="top" wrapText="1"/>
    </xf>
    <xf numFmtId="0" fontId="3" fillId="0" borderId="43" xfId="0" applyFont="1" applyBorder="1" applyAlignment="1">
      <alignment horizontal="justify" vertical="top" wrapText="1"/>
    </xf>
    <xf numFmtId="0" fontId="3" fillId="0" borderId="41" xfId="0" applyFont="1" applyBorder="1" applyAlignment="1">
      <alignment horizontal="justify"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1" fillId="0" borderId="42" xfId="0" applyFont="1" applyBorder="1" applyAlignment="1">
      <alignment horizontal="left" vertical="center" wrapText="1"/>
    </xf>
    <xf numFmtId="0" fontId="1" fillId="0" borderId="43" xfId="0" applyFont="1" applyBorder="1" applyAlignment="1">
      <alignment horizontal="left" vertical="center" wrapText="1"/>
    </xf>
    <xf numFmtId="0" fontId="1" fillId="0" borderId="41" xfId="0" applyFont="1" applyBorder="1" applyAlignment="1">
      <alignment horizontal="left" vertical="center" wrapText="1"/>
    </xf>
    <xf numFmtId="0" fontId="5" fillId="0" borderId="0" xfId="0" applyFont="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4" xfId="0" applyFont="1" applyBorder="1" applyAlignment="1">
      <alignment vertical="top" wrapText="1"/>
    </xf>
    <xf numFmtId="0" fontId="1" fillId="0" borderId="35" xfId="0" applyFont="1" applyBorder="1" applyAlignment="1">
      <alignment vertical="top" wrapText="1"/>
    </xf>
    <xf numFmtId="0" fontId="1" fillId="0" borderId="43" xfId="0" applyFont="1" applyBorder="1" applyAlignment="1">
      <alignment vertical="top" wrapText="1"/>
    </xf>
    <xf numFmtId="0" fontId="1" fillId="0" borderId="41" xfId="0" applyFont="1" applyBorder="1" applyAlignment="1">
      <alignment vertical="top" wrapText="1"/>
    </xf>
    <xf numFmtId="0" fontId="1" fillId="0" borderId="46" xfId="0" applyFont="1" applyBorder="1" applyAlignment="1">
      <alignment horizontal="center" vertical="center" textRotation="90"/>
    </xf>
    <xf numFmtId="0" fontId="1" fillId="0" borderId="44" xfId="0" applyFont="1" applyBorder="1" applyAlignment="1">
      <alignment horizontal="center" vertical="center" textRotation="90"/>
    </xf>
    <xf numFmtId="0" fontId="1" fillId="0" borderId="45" xfId="0" applyFont="1" applyBorder="1" applyAlignment="1">
      <alignment horizontal="center" vertical="center" textRotation="90"/>
    </xf>
    <xf numFmtId="0" fontId="1" fillId="0" borderId="0" xfId="0" applyFont="1" applyAlignment="1">
      <alignment vertical="top" wrapText="1"/>
    </xf>
    <xf numFmtId="0" fontId="1" fillId="0" borderId="40" xfId="0" applyFont="1" applyBorder="1" applyAlignment="1">
      <alignment vertical="top" wrapText="1"/>
    </xf>
    <xf numFmtId="0" fontId="3" fillId="0" borderId="0" xfId="0" applyFont="1" applyAlignment="1">
      <alignment horizontal="left" vertical="top" wrapText="1"/>
    </xf>
    <xf numFmtId="0" fontId="3" fillId="0" borderId="40" xfId="0" applyFont="1" applyBorder="1" applyAlignment="1">
      <alignment horizontal="left" vertical="top" wrapText="1"/>
    </xf>
    <xf numFmtId="0" fontId="3" fillId="0" borderId="36" xfId="0" applyFont="1" applyBorder="1" applyAlignment="1">
      <alignment horizontal="left" vertical="top" wrapText="1"/>
    </xf>
    <xf numFmtId="0" fontId="1" fillId="0" borderId="42" xfId="0" applyFont="1" applyBorder="1" applyAlignment="1">
      <alignment horizontal="left" vertical="top" wrapText="1"/>
    </xf>
    <xf numFmtId="0" fontId="9" fillId="6" borderId="6" xfId="1" applyFill="1" applyBorder="1" applyAlignment="1">
      <alignment horizontal="left"/>
    </xf>
  </cellXfs>
  <cellStyles count="2">
    <cellStyle name="Köprü" xfId="1" builtinId="8"/>
    <cellStyle name="Normal" xfId="0" builtinId="0"/>
  </cellStyles>
  <dxfs count="6">
    <dxf>
      <fill>
        <patternFill>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26</xdr:row>
      <xdr:rowOff>95251</xdr:rowOff>
    </xdr:from>
    <xdr:to>
      <xdr:col>28</xdr:col>
      <xdr:colOff>0</xdr:colOff>
      <xdr:row>26</xdr:row>
      <xdr:rowOff>2340344</xdr:rowOff>
    </xdr:to>
    <xdr:pic>
      <xdr:nvPicPr>
        <xdr:cNvPr id="3" name="Resim 2">
          <a:extLst>
            <a:ext uri="{FF2B5EF4-FFF2-40B4-BE49-F238E27FC236}">
              <a16:creationId xmlns:a16="http://schemas.microsoft.com/office/drawing/2014/main" id="{EAEC9B0D-DCEC-2DD6-512F-E3EB3B2EA772}"/>
            </a:ext>
          </a:extLst>
        </xdr:cNvPr>
        <xdr:cNvPicPr>
          <a:picLocks noChangeAspect="1"/>
        </xdr:cNvPicPr>
      </xdr:nvPicPr>
      <xdr:blipFill>
        <a:blip xmlns:r="http://schemas.openxmlformats.org/officeDocument/2006/relationships" r:embed="rId1"/>
        <a:stretch>
          <a:fillRect/>
        </a:stretch>
      </xdr:blipFill>
      <xdr:spPr>
        <a:xfrm>
          <a:off x="1514475" y="7524751"/>
          <a:ext cx="4086225" cy="22450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youtu.be/0SbTFdjScPc"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workbookViewId="0">
      <selection activeCell="A2" sqref="A2:A7"/>
    </sheetView>
  </sheetViews>
  <sheetFormatPr defaultRowHeight="15" x14ac:dyDescent="0.25"/>
  <cols>
    <col min="1" max="1" width="16" customWidth="1"/>
    <col min="2" max="2" width="34" customWidth="1"/>
    <col min="4" max="4" width="12" customWidth="1"/>
    <col min="5" max="5" width="42" customWidth="1"/>
    <col min="7" max="7" width="14" customWidth="1"/>
    <col min="8" max="8" width="32" customWidth="1"/>
    <col min="10" max="10" width="12" customWidth="1"/>
    <col min="11" max="11" width="55" customWidth="1"/>
    <col min="13" max="13" width="36" customWidth="1"/>
    <col min="15" max="15" width="14" customWidth="1"/>
    <col min="17" max="17" width="18" customWidth="1"/>
    <col min="18" max="18" width="55" customWidth="1"/>
  </cols>
  <sheetData>
    <row r="1" spans="1:19" ht="35.25" customHeight="1" x14ac:dyDescent="0.25">
      <c r="A1" s="5" t="s">
        <v>0</v>
      </c>
      <c r="B1" s="5" t="s">
        <v>1</v>
      </c>
      <c r="C1" s="3"/>
      <c r="D1" s="9" t="s">
        <v>2</v>
      </c>
      <c r="E1" s="9" t="s">
        <v>3</v>
      </c>
      <c r="F1" s="3"/>
      <c r="G1" s="9" t="s">
        <v>4</v>
      </c>
      <c r="H1" s="9" t="s">
        <v>5</v>
      </c>
      <c r="I1" s="3"/>
      <c r="J1" s="9" t="s">
        <v>6</v>
      </c>
      <c r="K1" s="9" t="s">
        <v>7</v>
      </c>
      <c r="L1" s="3"/>
      <c r="M1" s="4" t="s">
        <v>8</v>
      </c>
      <c r="N1" s="3"/>
      <c r="O1" s="3" t="s">
        <v>9</v>
      </c>
      <c r="P1" s="3"/>
      <c r="Q1" s="4" t="s">
        <v>10</v>
      </c>
      <c r="R1" s="4" t="s">
        <v>11</v>
      </c>
      <c r="S1" s="11" t="s">
        <v>12</v>
      </c>
    </row>
    <row r="2" spans="1:19" ht="35.25" customHeight="1" x14ac:dyDescent="0.25">
      <c r="A2" s="6" t="s">
        <v>13</v>
      </c>
      <c r="B2" s="6" t="s">
        <v>14</v>
      </c>
      <c r="C2" s="3"/>
      <c r="D2" s="10" t="s">
        <v>15</v>
      </c>
      <c r="E2" s="10" t="s">
        <v>16</v>
      </c>
      <c r="F2" s="3"/>
      <c r="G2" s="10" t="s">
        <v>15</v>
      </c>
      <c r="H2" s="10" t="s">
        <v>17</v>
      </c>
      <c r="I2" s="3"/>
      <c r="J2" s="10" t="s">
        <v>18</v>
      </c>
      <c r="K2" s="10" t="s">
        <v>19</v>
      </c>
      <c r="L2" s="3"/>
      <c r="M2" s="3" t="s">
        <v>20</v>
      </c>
      <c r="N2" s="3"/>
      <c r="O2" s="3"/>
      <c r="P2" s="3"/>
      <c r="Q2" s="3" t="s">
        <v>21</v>
      </c>
      <c r="R2" s="3" t="s">
        <v>22</v>
      </c>
      <c r="S2" t="s">
        <v>23</v>
      </c>
    </row>
    <row r="3" spans="1:19" ht="35.25" customHeight="1" x14ac:dyDescent="0.25">
      <c r="A3" s="6" t="s">
        <v>24</v>
      </c>
      <c r="B3" s="6" t="s">
        <v>25</v>
      </c>
      <c r="C3" s="3"/>
      <c r="D3" s="10" t="s">
        <v>26</v>
      </c>
      <c r="E3" s="10" t="s">
        <v>27</v>
      </c>
      <c r="F3" s="3"/>
      <c r="G3" s="10" t="s">
        <v>26</v>
      </c>
      <c r="H3" s="10" t="s">
        <v>28</v>
      </c>
      <c r="I3" s="3"/>
      <c r="J3" s="10" t="s">
        <v>29</v>
      </c>
      <c r="K3" s="10" t="s">
        <v>30</v>
      </c>
      <c r="L3" s="3"/>
      <c r="M3" s="3" t="s">
        <v>31</v>
      </c>
      <c r="N3" s="3"/>
      <c r="O3" s="3"/>
      <c r="P3" s="3"/>
      <c r="Q3" s="3" t="s">
        <v>32</v>
      </c>
      <c r="R3" s="3" t="s">
        <v>33</v>
      </c>
      <c r="S3" t="s">
        <v>34</v>
      </c>
    </row>
    <row r="4" spans="1:19" ht="35.25" customHeight="1" x14ac:dyDescent="0.25">
      <c r="A4" s="6" t="s">
        <v>35</v>
      </c>
      <c r="B4" s="6" t="s">
        <v>36</v>
      </c>
      <c r="C4" s="3"/>
      <c r="D4" s="10" t="s">
        <v>37</v>
      </c>
      <c r="E4" s="10" t="s">
        <v>38</v>
      </c>
      <c r="F4" s="3"/>
      <c r="G4" s="10" t="s">
        <v>37</v>
      </c>
      <c r="H4" s="10" t="s">
        <v>39</v>
      </c>
      <c r="I4" s="3"/>
      <c r="J4" s="10" t="s">
        <v>40</v>
      </c>
      <c r="K4" s="10" t="s">
        <v>41</v>
      </c>
      <c r="L4" s="3"/>
      <c r="M4" s="3" t="s">
        <v>42</v>
      </c>
      <c r="N4" s="3"/>
      <c r="O4" s="3"/>
      <c r="P4" s="3"/>
      <c r="Q4" s="3" t="s">
        <v>43</v>
      </c>
      <c r="R4" s="3" t="s">
        <v>44</v>
      </c>
      <c r="S4" t="s">
        <v>45</v>
      </c>
    </row>
    <row r="5" spans="1:19" ht="35.25" customHeight="1" x14ac:dyDescent="0.25">
      <c r="A5" s="6" t="s">
        <v>46</v>
      </c>
      <c r="B5" s="6" t="s">
        <v>47</v>
      </c>
      <c r="C5" s="3"/>
      <c r="D5" s="10" t="s">
        <v>48</v>
      </c>
      <c r="E5" s="10" t="s">
        <v>49</v>
      </c>
      <c r="F5" s="3"/>
      <c r="G5" s="10" t="s">
        <v>48</v>
      </c>
      <c r="H5" s="10" t="s">
        <v>50</v>
      </c>
      <c r="I5" s="3"/>
      <c r="J5" s="10" t="s">
        <v>51</v>
      </c>
      <c r="K5" s="10" t="s">
        <v>52</v>
      </c>
      <c r="L5" s="3"/>
      <c r="M5" s="3" t="s">
        <v>53</v>
      </c>
      <c r="N5" s="3"/>
      <c r="O5" s="3"/>
      <c r="P5" s="3"/>
      <c r="Q5" s="3" t="s">
        <v>54</v>
      </c>
      <c r="R5" s="3" t="s">
        <v>55</v>
      </c>
      <c r="S5" t="s">
        <v>56</v>
      </c>
    </row>
    <row r="6" spans="1:19" ht="35.25" customHeight="1" x14ac:dyDescent="0.25">
      <c r="A6" s="6" t="s">
        <v>57</v>
      </c>
      <c r="B6" s="6" t="s">
        <v>58</v>
      </c>
      <c r="C6" s="3"/>
      <c r="D6" s="10" t="s">
        <v>59</v>
      </c>
      <c r="E6" s="10" t="s">
        <v>60</v>
      </c>
      <c r="F6" s="3"/>
      <c r="G6" s="10" t="s">
        <v>59</v>
      </c>
      <c r="H6" s="10" t="s">
        <v>61</v>
      </c>
      <c r="I6" s="3"/>
      <c r="J6" s="10" t="s">
        <v>62</v>
      </c>
      <c r="K6" s="10" t="s">
        <v>63</v>
      </c>
      <c r="L6" s="3"/>
      <c r="M6" s="3" t="s">
        <v>64</v>
      </c>
      <c r="N6" s="3"/>
      <c r="O6" s="3"/>
      <c r="P6" s="3"/>
      <c r="Q6" s="3" t="s">
        <v>65</v>
      </c>
      <c r="R6" s="3" t="s">
        <v>66</v>
      </c>
      <c r="S6" t="s">
        <v>67</v>
      </c>
    </row>
    <row r="7" spans="1:19" ht="35.25" customHeight="1" x14ac:dyDescent="0.25">
      <c r="A7" s="6" t="s">
        <v>68</v>
      </c>
      <c r="B7" s="6" t="s">
        <v>69</v>
      </c>
      <c r="C7" s="3"/>
      <c r="D7" s="10" t="s">
        <v>70</v>
      </c>
      <c r="E7" s="10" t="s">
        <v>71</v>
      </c>
      <c r="F7" s="3"/>
      <c r="G7" s="10" t="s">
        <v>70</v>
      </c>
      <c r="H7" s="10" t="s">
        <v>72</v>
      </c>
      <c r="I7" s="3"/>
      <c r="J7" s="10" t="s">
        <v>73</v>
      </c>
      <c r="K7" s="10" t="s">
        <v>74</v>
      </c>
      <c r="L7" s="3"/>
      <c r="M7" s="3"/>
      <c r="N7" s="3"/>
      <c r="O7" s="3"/>
      <c r="P7" s="3"/>
      <c r="Q7" s="3"/>
      <c r="R7" s="3"/>
    </row>
    <row r="8" spans="1:19" ht="35.25" customHeight="1" x14ac:dyDescent="0.25">
      <c r="A8" s="3"/>
      <c r="B8" s="3"/>
      <c r="C8" s="3"/>
      <c r="D8" s="10" t="s">
        <v>75</v>
      </c>
      <c r="E8" s="10" t="s">
        <v>76</v>
      </c>
      <c r="F8" s="3"/>
      <c r="G8" s="10" t="s">
        <v>75</v>
      </c>
      <c r="H8" s="10" t="s">
        <v>77</v>
      </c>
      <c r="I8" s="3"/>
      <c r="J8" s="10" t="s">
        <v>78</v>
      </c>
      <c r="K8" s="10" t="s">
        <v>79</v>
      </c>
      <c r="L8" s="3"/>
      <c r="M8" s="3"/>
      <c r="N8" s="3"/>
      <c r="O8" s="3"/>
      <c r="P8" s="3"/>
      <c r="Q8" s="3"/>
      <c r="R8" s="3"/>
    </row>
    <row r="9" spans="1:19" ht="35.25" customHeight="1" x14ac:dyDescent="0.25">
      <c r="A9" s="3"/>
      <c r="B9" s="3"/>
      <c r="C9" s="3"/>
      <c r="D9" s="3"/>
      <c r="E9" s="3"/>
      <c r="F9" s="3"/>
      <c r="G9" s="10" t="s">
        <v>80</v>
      </c>
      <c r="H9" s="10" t="s">
        <v>81</v>
      </c>
      <c r="I9" s="3"/>
      <c r="J9" s="10" t="s">
        <v>82</v>
      </c>
      <c r="K9" s="10" t="s">
        <v>83</v>
      </c>
      <c r="L9" s="3"/>
      <c r="M9" s="3"/>
      <c r="N9" s="3"/>
      <c r="O9" s="3"/>
      <c r="P9" s="3"/>
      <c r="Q9" s="3"/>
      <c r="R9" s="3"/>
    </row>
    <row r="10" spans="1:19" ht="35.25" customHeight="1" x14ac:dyDescent="0.25">
      <c r="A10" s="3"/>
      <c r="B10" s="3"/>
      <c r="C10" s="3"/>
      <c r="D10" s="3"/>
      <c r="E10" s="3"/>
      <c r="F10" s="3"/>
      <c r="G10" s="3"/>
      <c r="H10" s="3"/>
      <c r="I10" s="3"/>
      <c r="J10" s="10" t="s">
        <v>84</v>
      </c>
      <c r="K10" s="10" t="s">
        <v>85</v>
      </c>
      <c r="L10" s="3"/>
      <c r="M10" s="3"/>
      <c r="N10" s="3"/>
      <c r="O10" s="3"/>
      <c r="P10" s="3"/>
      <c r="Q10" s="3"/>
      <c r="R10" s="3"/>
    </row>
    <row r="11" spans="1:19" ht="35.25" customHeight="1" x14ac:dyDescent="0.25">
      <c r="A11" s="3"/>
      <c r="B11" s="3"/>
      <c r="C11" s="3"/>
      <c r="D11" s="3"/>
      <c r="E11" s="3"/>
      <c r="F11" s="3"/>
      <c r="G11" s="3"/>
      <c r="H11" s="3"/>
      <c r="I11" s="3"/>
      <c r="J11" s="10" t="s">
        <v>86</v>
      </c>
      <c r="K11" s="10" t="s">
        <v>87</v>
      </c>
      <c r="L11" s="3"/>
      <c r="M11" s="3"/>
      <c r="N11" s="3"/>
      <c r="O11" s="3"/>
      <c r="P11" s="3"/>
      <c r="Q11" s="3"/>
      <c r="R11" s="3"/>
    </row>
    <row r="12" spans="1:19" ht="35.25" customHeight="1" x14ac:dyDescent="0.25">
      <c r="A12" s="3"/>
      <c r="B12" s="3"/>
      <c r="C12" s="3"/>
      <c r="D12" s="3"/>
      <c r="E12" s="3"/>
      <c r="F12" s="3"/>
      <c r="G12" s="3"/>
      <c r="H12" s="3"/>
      <c r="I12" s="3"/>
      <c r="J12" s="10" t="s">
        <v>88</v>
      </c>
      <c r="K12" s="10" t="s">
        <v>89</v>
      </c>
      <c r="L12" s="3"/>
      <c r="M12" s="3"/>
      <c r="N12" s="3"/>
      <c r="O12" s="3"/>
      <c r="P12" s="3"/>
      <c r="Q12" s="3"/>
      <c r="R12" s="3"/>
    </row>
    <row r="13" spans="1:19" ht="35.25" customHeight="1" x14ac:dyDescent="0.25">
      <c r="A13" s="3"/>
      <c r="B13" s="3"/>
      <c r="C13" s="3"/>
      <c r="D13" s="3"/>
      <c r="E13" s="3"/>
      <c r="F13" s="3"/>
      <c r="G13" s="3"/>
      <c r="H13" s="3"/>
      <c r="I13" s="3"/>
      <c r="J13" s="10" t="s">
        <v>90</v>
      </c>
      <c r="K13" s="10" t="s">
        <v>91</v>
      </c>
      <c r="L13" s="3"/>
      <c r="M13" s="3"/>
      <c r="N13" s="3"/>
      <c r="O13" s="3"/>
      <c r="P13" s="3"/>
      <c r="Q13" s="3"/>
      <c r="R13" s="3"/>
    </row>
    <row r="14" spans="1:19" ht="35.25" customHeight="1" x14ac:dyDescent="0.25">
      <c r="A14" s="3"/>
      <c r="B14" s="3"/>
      <c r="C14" s="3"/>
      <c r="D14" s="3"/>
      <c r="E14" s="3"/>
      <c r="F14" s="3"/>
      <c r="G14" s="3"/>
      <c r="H14" s="3"/>
      <c r="I14" s="3"/>
      <c r="J14" s="10" t="s">
        <v>92</v>
      </c>
      <c r="K14" s="10" t="s">
        <v>93</v>
      </c>
      <c r="L14" s="3"/>
      <c r="M14" s="3"/>
      <c r="N14" s="3"/>
      <c r="O14" s="3"/>
      <c r="P14" s="3"/>
      <c r="Q14" s="3"/>
      <c r="R14" s="3"/>
    </row>
    <row r="15" spans="1:19" ht="35.25" customHeight="1" x14ac:dyDescent="0.25">
      <c r="A15" s="3"/>
      <c r="B15" s="3"/>
      <c r="C15" s="3"/>
      <c r="D15" s="3"/>
      <c r="E15" s="3"/>
      <c r="F15" s="3"/>
      <c r="G15" s="3"/>
      <c r="H15" s="3"/>
      <c r="I15" s="3"/>
      <c r="J15" s="10" t="s">
        <v>94</v>
      </c>
      <c r="K15" s="10" t="s">
        <v>95</v>
      </c>
      <c r="L15" s="3"/>
      <c r="M15" s="3"/>
      <c r="N15" s="3"/>
      <c r="O15" s="3"/>
      <c r="P15" s="3"/>
      <c r="Q15" s="3"/>
      <c r="R15" s="3"/>
    </row>
    <row r="16" spans="1:19" ht="35.25" customHeight="1" x14ac:dyDescent="0.25">
      <c r="A16" s="3"/>
      <c r="B16" s="3"/>
      <c r="C16" s="3"/>
      <c r="D16" s="3"/>
      <c r="E16" s="3"/>
      <c r="F16" s="3"/>
      <c r="G16" s="3"/>
      <c r="H16" s="3"/>
      <c r="I16" s="3"/>
      <c r="J16" s="10" t="s">
        <v>96</v>
      </c>
      <c r="K16" s="10" t="s">
        <v>97</v>
      </c>
      <c r="L16" s="3"/>
      <c r="M16" s="3"/>
      <c r="N16" s="3"/>
      <c r="O16" s="3"/>
      <c r="P16" s="3"/>
      <c r="Q16" s="3"/>
      <c r="R16" s="3"/>
    </row>
    <row r="17" spans="1:18" ht="35.25" customHeight="1" x14ac:dyDescent="0.25">
      <c r="A17" s="3"/>
      <c r="B17" s="3"/>
      <c r="C17" s="3"/>
      <c r="D17" s="3"/>
      <c r="E17" s="3"/>
      <c r="F17" s="3"/>
      <c r="G17" s="3"/>
      <c r="H17" s="3"/>
      <c r="I17" s="3"/>
      <c r="J17" s="10" t="s">
        <v>98</v>
      </c>
      <c r="K17" s="10" t="s">
        <v>99</v>
      </c>
      <c r="L17" s="3"/>
      <c r="M17" s="3"/>
      <c r="N17" s="3"/>
      <c r="O17" s="3"/>
      <c r="P17" s="3"/>
      <c r="Q17" s="3"/>
      <c r="R17" s="3"/>
    </row>
    <row r="18" spans="1:18" ht="35.25" customHeight="1" x14ac:dyDescent="0.25">
      <c r="A18" s="3"/>
      <c r="B18" s="3"/>
      <c r="C18" s="3"/>
      <c r="D18" s="3"/>
      <c r="E18" s="3"/>
      <c r="F18" s="3"/>
      <c r="G18" s="3"/>
      <c r="H18" s="3"/>
      <c r="I18" s="3"/>
      <c r="J18" s="10" t="s">
        <v>100</v>
      </c>
      <c r="K18" s="10" t="s">
        <v>101</v>
      </c>
      <c r="L18" s="3"/>
      <c r="M18" s="3"/>
      <c r="N18" s="3"/>
      <c r="O18" s="3"/>
      <c r="P18" s="3"/>
      <c r="Q18" s="3"/>
      <c r="R18" s="3"/>
    </row>
    <row r="19" spans="1:18" ht="35.25" customHeight="1" x14ac:dyDescent="0.25">
      <c r="A19" s="3"/>
      <c r="B19" s="3"/>
      <c r="C19" s="3"/>
      <c r="D19" s="3"/>
      <c r="E19" s="3"/>
      <c r="F19" s="3"/>
      <c r="G19" s="3"/>
      <c r="H19" s="3"/>
      <c r="I19" s="3"/>
      <c r="J19" s="10" t="s">
        <v>102</v>
      </c>
      <c r="K19" s="10" t="s">
        <v>103</v>
      </c>
      <c r="L19" s="3"/>
      <c r="M19" s="3"/>
      <c r="N19" s="3"/>
      <c r="O19" s="3"/>
      <c r="P19" s="3"/>
      <c r="Q19" s="3"/>
      <c r="R19" s="3"/>
    </row>
    <row r="20" spans="1:18" ht="35.25" customHeight="1" x14ac:dyDescent="0.25">
      <c r="A20" s="3"/>
      <c r="B20" s="3"/>
      <c r="C20" s="3"/>
      <c r="D20" s="3"/>
      <c r="E20" s="3"/>
      <c r="F20" s="3"/>
      <c r="G20" s="3"/>
      <c r="H20" s="3"/>
      <c r="I20" s="3"/>
      <c r="J20" s="10" t="s">
        <v>104</v>
      </c>
      <c r="K20" s="10" t="s">
        <v>105</v>
      </c>
      <c r="L20" s="3"/>
      <c r="M20" s="3"/>
      <c r="N20" s="3"/>
      <c r="O20" s="3"/>
      <c r="P20" s="3"/>
      <c r="Q20" s="3"/>
      <c r="R20" s="3"/>
    </row>
    <row r="21" spans="1:18" ht="35.25" customHeight="1" x14ac:dyDescent="0.25">
      <c r="A21" s="3"/>
      <c r="B21" s="3"/>
      <c r="C21" s="3"/>
      <c r="D21" s="3"/>
      <c r="E21" s="3"/>
      <c r="F21" s="3"/>
      <c r="G21" s="3"/>
      <c r="H21" s="3"/>
      <c r="I21" s="3"/>
      <c r="J21" s="10" t="s">
        <v>106</v>
      </c>
      <c r="K21" s="10" t="s">
        <v>107</v>
      </c>
      <c r="L21" s="3"/>
      <c r="M21" s="3"/>
      <c r="N21" s="3"/>
      <c r="O21" s="3"/>
      <c r="P21" s="3"/>
      <c r="Q21" s="3"/>
      <c r="R21" s="3"/>
    </row>
    <row r="22" spans="1:18" ht="35.25" customHeight="1" x14ac:dyDescent="0.25">
      <c r="A22" s="3"/>
      <c r="B22" s="3"/>
      <c r="C22" s="3"/>
      <c r="D22" s="3"/>
      <c r="E22" s="3"/>
      <c r="F22" s="3"/>
      <c r="G22" s="3"/>
      <c r="H22" s="3"/>
      <c r="I22" s="3"/>
      <c r="J22" s="10" t="s">
        <v>108</v>
      </c>
      <c r="K22" s="10" t="s">
        <v>109</v>
      </c>
      <c r="L22" s="3"/>
      <c r="M22" s="3"/>
      <c r="N22" s="3"/>
      <c r="O22" s="3"/>
      <c r="P22" s="3"/>
      <c r="Q22" s="3"/>
      <c r="R22" s="3"/>
    </row>
    <row r="23" spans="1:18" ht="35.25" customHeight="1" x14ac:dyDescent="0.25">
      <c r="A23" s="3"/>
      <c r="B23" s="3"/>
      <c r="C23" s="3"/>
      <c r="D23" s="3"/>
      <c r="E23" s="3"/>
      <c r="F23" s="3"/>
      <c r="G23" s="3"/>
      <c r="H23" s="3"/>
      <c r="I23" s="3"/>
      <c r="J23" s="10" t="s">
        <v>110</v>
      </c>
      <c r="K23" s="10" t="s">
        <v>111</v>
      </c>
      <c r="L23" s="3"/>
      <c r="M23" s="3"/>
      <c r="N23" s="3"/>
      <c r="O23" s="3"/>
      <c r="P23" s="3"/>
      <c r="Q23" s="3"/>
      <c r="R23" s="3"/>
    </row>
    <row r="24" spans="1:18" ht="35.25" customHeight="1" x14ac:dyDescent="0.25">
      <c r="A24" s="3"/>
      <c r="B24" s="3"/>
      <c r="C24" s="3"/>
      <c r="D24" s="3"/>
      <c r="E24" s="3"/>
      <c r="F24" s="3"/>
      <c r="G24" s="3"/>
      <c r="H24" s="3"/>
      <c r="I24" s="3"/>
      <c r="J24" s="10" t="s">
        <v>112</v>
      </c>
      <c r="K24" s="10" t="s">
        <v>113</v>
      </c>
      <c r="L24" s="3"/>
      <c r="M24" s="3"/>
      <c r="N24" s="3"/>
      <c r="O24" s="3"/>
      <c r="P24" s="3"/>
      <c r="Q24" s="3"/>
      <c r="R24" s="3"/>
    </row>
    <row r="25" spans="1:18" ht="35.25" customHeight="1" x14ac:dyDescent="0.25">
      <c r="A25" s="3"/>
      <c r="B25" s="3"/>
      <c r="C25" s="3"/>
      <c r="D25" s="3"/>
      <c r="E25" s="3"/>
      <c r="F25" s="3"/>
      <c r="G25" s="3"/>
      <c r="H25" s="3"/>
      <c r="I25" s="3"/>
      <c r="J25" s="10" t="s">
        <v>114</v>
      </c>
      <c r="K25" s="10" t="s">
        <v>115</v>
      </c>
      <c r="L25" s="3"/>
      <c r="M25" s="3"/>
      <c r="N25" s="3"/>
      <c r="O25" s="3"/>
      <c r="P25" s="3"/>
      <c r="Q25" s="3"/>
      <c r="R25" s="3"/>
    </row>
    <row r="26" spans="1:18" ht="35.25" customHeight="1" x14ac:dyDescent="0.25">
      <c r="A26" s="3"/>
      <c r="B26" s="3"/>
      <c r="C26" s="3"/>
      <c r="D26" s="3"/>
      <c r="E26" s="3"/>
      <c r="F26" s="3"/>
      <c r="G26" s="3"/>
      <c r="H26" s="3"/>
      <c r="I26" s="3"/>
      <c r="J26" s="10" t="s">
        <v>116</v>
      </c>
      <c r="K26" s="10" t="s">
        <v>117</v>
      </c>
      <c r="L26" s="3"/>
      <c r="M26" s="3"/>
      <c r="N26" s="3"/>
      <c r="O26" s="3"/>
      <c r="P26" s="3"/>
      <c r="Q26" s="3"/>
      <c r="R26" s="3"/>
    </row>
    <row r="27" spans="1:18" ht="35.25" customHeight="1" x14ac:dyDescent="0.25">
      <c r="A27" s="3"/>
      <c r="B27" s="3"/>
      <c r="C27" s="3"/>
      <c r="D27" s="3"/>
      <c r="E27" s="3"/>
      <c r="F27" s="3"/>
      <c r="G27" s="3"/>
      <c r="H27" s="3"/>
      <c r="I27" s="3"/>
      <c r="J27" s="10" t="s">
        <v>118</v>
      </c>
      <c r="K27" s="10" t="s">
        <v>119</v>
      </c>
      <c r="L27" s="3"/>
      <c r="M27" s="3"/>
      <c r="N27" s="3"/>
      <c r="O27" s="3"/>
      <c r="P27" s="3"/>
      <c r="Q27" s="3"/>
      <c r="R27" s="3"/>
    </row>
    <row r="28" spans="1:18" ht="35.25" customHeight="1" x14ac:dyDescent="0.25">
      <c r="A28" s="3"/>
      <c r="B28" s="3"/>
      <c r="C28" s="3"/>
      <c r="D28" s="3"/>
      <c r="E28" s="3"/>
      <c r="F28" s="3"/>
      <c r="G28" s="3"/>
      <c r="H28" s="3"/>
      <c r="I28" s="3"/>
      <c r="J28" s="10" t="s">
        <v>120</v>
      </c>
      <c r="K28" s="10" t="s">
        <v>121</v>
      </c>
      <c r="L28" s="3"/>
      <c r="M28" s="3"/>
      <c r="N28" s="3"/>
      <c r="O28" s="3"/>
      <c r="P28" s="3"/>
      <c r="Q28" s="3"/>
      <c r="R28" s="3"/>
    </row>
    <row r="29" spans="1:18" ht="35.25" customHeight="1" x14ac:dyDescent="0.25">
      <c r="A29" s="3"/>
      <c r="B29" s="3"/>
      <c r="C29" s="3"/>
      <c r="D29" s="3"/>
      <c r="E29" s="3"/>
      <c r="F29" s="3"/>
      <c r="G29" s="3"/>
      <c r="H29" s="3"/>
      <c r="I29" s="3"/>
      <c r="J29" s="10" t="s">
        <v>122</v>
      </c>
      <c r="K29" s="10" t="s">
        <v>123</v>
      </c>
      <c r="L29" s="3"/>
      <c r="M29" s="3"/>
      <c r="N29" s="3"/>
      <c r="O29" s="3"/>
      <c r="P29" s="3"/>
      <c r="Q29" s="3"/>
      <c r="R29" s="3"/>
    </row>
    <row r="30" spans="1:18" ht="35.25" customHeight="1" x14ac:dyDescent="0.25">
      <c r="A30" s="3"/>
      <c r="B30" s="3"/>
      <c r="C30" s="3"/>
      <c r="D30" s="3"/>
      <c r="E30" s="3"/>
      <c r="F30" s="3"/>
      <c r="G30" s="3"/>
      <c r="H30" s="3"/>
      <c r="I30" s="3"/>
      <c r="J30" s="10" t="s">
        <v>124</v>
      </c>
      <c r="K30" s="10" t="s">
        <v>125</v>
      </c>
      <c r="L30" s="3"/>
      <c r="M30" s="3"/>
      <c r="N30" s="3"/>
      <c r="O30" s="3"/>
      <c r="P30" s="3"/>
      <c r="Q30" s="3"/>
      <c r="R30" s="3"/>
    </row>
    <row r="31" spans="1:18" ht="35.25" customHeight="1" x14ac:dyDescent="0.25">
      <c r="A31" s="3"/>
      <c r="B31" s="3"/>
      <c r="C31" s="3"/>
      <c r="D31" s="3"/>
      <c r="E31" s="3"/>
      <c r="F31" s="3"/>
      <c r="G31" s="3"/>
      <c r="H31" s="3"/>
      <c r="I31" s="3"/>
      <c r="J31" s="10" t="s">
        <v>126</v>
      </c>
      <c r="K31" s="10" t="s">
        <v>127</v>
      </c>
      <c r="L31" s="3"/>
      <c r="M31" s="3"/>
      <c r="N31" s="3"/>
      <c r="O31" s="3"/>
      <c r="P31" s="3"/>
      <c r="Q31" s="3"/>
      <c r="R31" s="3"/>
    </row>
    <row r="32" spans="1:18" ht="35.25" customHeight="1" x14ac:dyDescent="0.25">
      <c r="A32" s="3"/>
      <c r="B32" s="3"/>
      <c r="C32" s="3"/>
      <c r="D32" s="3"/>
      <c r="E32" s="3"/>
      <c r="F32" s="3"/>
      <c r="G32" s="3"/>
      <c r="H32" s="3"/>
      <c r="I32" s="3"/>
      <c r="J32" s="3"/>
      <c r="K32" s="3"/>
      <c r="L32" s="3"/>
      <c r="M32" s="3"/>
      <c r="N32" s="3"/>
      <c r="O32" s="3"/>
      <c r="P32" s="3"/>
      <c r="Q32" s="3"/>
      <c r="R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7"/>
  <sheetViews>
    <sheetView tabSelected="1" view="pageBreakPreview" zoomScale="115" zoomScaleNormal="100" zoomScaleSheetLayoutView="115" workbookViewId="0">
      <selection activeCell="G9" sqref="G9:AD9"/>
    </sheetView>
  </sheetViews>
  <sheetFormatPr defaultColWidth="2.85546875" defaultRowHeight="15" x14ac:dyDescent="0.25"/>
  <cols>
    <col min="1" max="32" width="3" style="1" customWidth="1"/>
    <col min="33" max="16384" width="2.85546875" style="1"/>
  </cols>
  <sheetData>
    <row r="1" spans="1:30" ht="30" customHeight="1" x14ac:dyDescent="0.25">
      <c r="A1" s="18" t="s">
        <v>228</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45" customHeight="1" x14ac:dyDescent="0.25">
      <c r="A2" s="24" t="s">
        <v>128</v>
      </c>
      <c r="B2" s="24"/>
      <c r="C2" s="24"/>
      <c r="D2" s="24"/>
      <c r="E2" s="24"/>
      <c r="F2" s="24"/>
      <c r="G2" s="33" t="s">
        <v>207</v>
      </c>
      <c r="H2" s="33"/>
      <c r="I2" s="33"/>
      <c r="J2" s="33"/>
      <c r="K2" s="33"/>
      <c r="L2" s="33"/>
      <c r="M2" s="33"/>
      <c r="N2" s="33"/>
      <c r="O2" s="33"/>
      <c r="P2" s="33"/>
      <c r="Q2" s="33"/>
      <c r="R2" s="33"/>
      <c r="S2" s="33"/>
      <c r="T2" s="33"/>
      <c r="U2" s="33"/>
      <c r="V2" s="33"/>
      <c r="W2" s="33"/>
      <c r="X2" s="33"/>
      <c r="Y2" s="33"/>
      <c r="Z2" s="33"/>
      <c r="AA2" s="33"/>
      <c r="AB2" s="33"/>
      <c r="AC2" s="33"/>
      <c r="AD2" s="33"/>
    </row>
    <row r="3" spans="1:30" ht="1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5">
      <c r="A4" s="21" t="s">
        <v>129</v>
      </c>
      <c r="B4" s="21"/>
      <c r="C4" s="21"/>
      <c r="D4" s="21"/>
      <c r="E4" s="21"/>
      <c r="F4" s="21"/>
      <c r="G4" s="29" t="s">
        <v>214</v>
      </c>
      <c r="H4" s="30"/>
      <c r="I4" s="30"/>
      <c r="J4" s="30"/>
      <c r="K4" s="30"/>
      <c r="L4" s="30"/>
      <c r="M4" s="30"/>
      <c r="N4" s="30"/>
      <c r="O4" s="30"/>
      <c r="P4" s="30"/>
      <c r="Q4" s="30"/>
      <c r="R4" s="30"/>
      <c r="S4" s="30"/>
      <c r="T4" s="30"/>
      <c r="U4" s="30"/>
      <c r="V4" s="30"/>
      <c r="W4" s="30"/>
      <c r="X4" s="30"/>
      <c r="Y4" s="30"/>
      <c r="Z4" s="30"/>
      <c r="AA4" s="30"/>
      <c r="AB4" s="30"/>
      <c r="AC4" s="30"/>
      <c r="AD4" s="30"/>
    </row>
    <row r="5" spans="1:30" x14ac:dyDescent="0.25">
      <c r="A5" s="25" t="s">
        <v>130</v>
      </c>
      <c r="B5" s="25"/>
      <c r="C5" s="25"/>
      <c r="D5" s="25"/>
      <c r="E5" s="25"/>
      <c r="F5" s="25"/>
      <c r="G5" s="27" t="s">
        <v>131</v>
      </c>
      <c r="H5" s="27"/>
      <c r="I5" s="27"/>
      <c r="J5" s="27"/>
      <c r="K5" s="27"/>
      <c r="L5" s="27"/>
      <c r="M5" s="27"/>
      <c r="N5" s="27"/>
      <c r="O5" s="27"/>
      <c r="P5" s="27"/>
      <c r="Q5" s="27"/>
      <c r="R5" s="27"/>
      <c r="S5" s="27"/>
      <c r="T5" s="27"/>
      <c r="U5" s="27"/>
      <c r="V5" s="27"/>
      <c r="W5" s="27"/>
      <c r="X5" s="27"/>
      <c r="Y5" s="27"/>
      <c r="Z5" s="27"/>
      <c r="AA5" s="27"/>
      <c r="AB5" s="27"/>
      <c r="AC5" s="27"/>
      <c r="AD5" s="27"/>
    </row>
    <row r="6" spans="1:30" x14ac:dyDescent="0.25">
      <c r="A6" s="25" t="s">
        <v>132</v>
      </c>
      <c r="B6" s="25"/>
      <c r="C6" s="25"/>
      <c r="D6" s="25"/>
      <c r="E6" s="25"/>
      <c r="F6" s="25"/>
      <c r="G6" s="28" t="s">
        <v>133</v>
      </c>
      <c r="H6" s="28"/>
      <c r="I6" s="28"/>
      <c r="J6" s="28"/>
      <c r="K6" s="28"/>
      <c r="L6" s="28"/>
      <c r="M6" s="28"/>
      <c r="N6" s="28"/>
      <c r="O6" s="28"/>
      <c r="P6" s="28"/>
      <c r="Q6" s="28"/>
      <c r="R6" s="28"/>
      <c r="S6" s="28"/>
      <c r="T6" s="28"/>
      <c r="U6" s="28"/>
      <c r="V6" s="28"/>
      <c r="W6" s="28"/>
      <c r="X6" s="28"/>
      <c r="Y6" s="28"/>
      <c r="Z6" s="28"/>
      <c r="AA6" s="28"/>
      <c r="AB6" s="28"/>
      <c r="AC6" s="28"/>
      <c r="AD6" s="28"/>
    </row>
    <row r="7" spans="1:30" x14ac:dyDescent="0.25">
      <c r="A7" s="22" t="s">
        <v>134</v>
      </c>
      <c r="B7" s="22"/>
      <c r="C7" s="22"/>
      <c r="D7" s="22"/>
      <c r="E7" s="22"/>
      <c r="F7" s="22"/>
      <c r="G7" s="26" t="s">
        <v>135</v>
      </c>
      <c r="H7" s="26"/>
      <c r="I7" s="26"/>
      <c r="J7" s="26"/>
      <c r="K7" s="26"/>
      <c r="L7" s="26"/>
      <c r="M7" s="26"/>
      <c r="N7" s="26"/>
      <c r="O7" s="26"/>
      <c r="P7" s="26"/>
      <c r="Q7" s="26"/>
      <c r="R7" s="26"/>
      <c r="S7" s="26"/>
      <c r="T7" s="26"/>
      <c r="U7" s="26"/>
      <c r="V7" s="26"/>
      <c r="W7" s="26"/>
      <c r="X7" s="26"/>
      <c r="Y7" s="26"/>
      <c r="Z7" s="26"/>
      <c r="AA7" s="26"/>
      <c r="AB7" s="26"/>
      <c r="AC7" s="26"/>
      <c r="AD7" s="26"/>
    </row>
    <row r="8" spans="1:30" x14ac:dyDescent="0.25">
      <c r="A8" s="22" t="s">
        <v>136</v>
      </c>
      <c r="B8" s="22"/>
      <c r="C8" s="22"/>
      <c r="D8" s="22"/>
      <c r="E8" s="22"/>
      <c r="F8" s="22"/>
      <c r="G8" s="31" t="s">
        <v>137</v>
      </c>
      <c r="H8" s="31"/>
      <c r="I8" s="31"/>
      <c r="J8" s="31"/>
      <c r="K8" s="31"/>
      <c r="L8" s="31"/>
      <c r="M8" s="31"/>
      <c r="N8" s="31"/>
      <c r="O8" s="31"/>
      <c r="P8" s="31"/>
      <c r="Q8" s="31"/>
      <c r="R8" s="31"/>
      <c r="S8" s="31"/>
      <c r="T8" s="31"/>
      <c r="U8" s="31"/>
      <c r="V8" s="31"/>
      <c r="W8" s="31"/>
      <c r="X8" s="31"/>
      <c r="Y8" s="31"/>
      <c r="Z8" s="31"/>
      <c r="AA8" s="31"/>
      <c r="AB8" s="31"/>
      <c r="AC8" s="31"/>
      <c r="AD8" s="31"/>
    </row>
    <row r="9" spans="1:30" x14ac:dyDescent="0.25">
      <c r="A9" s="25" t="s">
        <v>138</v>
      </c>
      <c r="B9" s="25"/>
      <c r="C9" s="25"/>
      <c r="D9" s="25"/>
      <c r="E9" s="25"/>
      <c r="F9" s="25"/>
      <c r="G9" s="180" t="s">
        <v>235</v>
      </c>
      <c r="H9" s="26"/>
      <c r="I9" s="26"/>
      <c r="J9" s="26"/>
      <c r="K9" s="26"/>
      <c r="L9" s="26"/>
      <c r="M9" s="26"/>
      <c r="N9" s="26"/>
      <c r="O9" s="26"/>
      <c r="P9" s="26"/>
      <c r="Q9" s="26"/>
      <c r="R9" s="26"/>
      <c r="S9" s="26"/>
      <c r="T9" s="26"/>
      <c r="U9" s="26"/>
      <c r="V9" s="26"/>
      <c r="W9" s="26"/>
      <c r="X9" s="26"/>
      <c r="Y9" s="26"/>
      <c r="Z9" s="26"/>
      <c r="AA9" s="26"/>
      <c r="AB9" s="26"/>
      <c r="AC9" s="26"/>
      <c r="AD9" s="26"/>
    </row>
    <row r="10" spans="1:30" x14ac:dyDescent="0.25">
      <c r="A10" s="19" t="s">
        <v>139</v>
      </c>
      <c r="B10" s="22" t="s">
        <v>140</v>
      </c>
      <c r="C10" s="22"/>
      <c r="D10" s="22"/>
      <c r="E10" s="22"/>
      <c r="F10" s="22"/>
      <c r="G10" s="31" t="s">
        <v>141</v>
      </c>
      <c r="H10" s="31"/>
      <c r="I10" s="31"/>
      <c r="J10" s="31"/>
      <c r="K10" s="31"/>
      <c r="L10" s="31"/>
      <c r="M10" s="31"/>
      <c r="N10" s="31"/>
      <c r="O10" s="31"/>
      <c r="P10" s="31"/>
      <c r="Q10" s="31"/>
      <c r="R10" s="31"/>
      <c r="S10" s="31"/>
      <c r="T10" s="31"/>
      <c r="U10" s="31"/>
      <c r="V10" s="31"/>
      <c r="W10" s="31"/>
      <c r="X10" s="31"/>
      <c r="Y10" s="31"/>
      <c r="Z10" s="31"/>
      <c r="AA10" s="31"/>
      <c r="AB10" s="31"/>
      <c r="AC10" s="31"/>
      <c r="AD10" s="31"/>
    </row>
    <row r="11" spans="1:30" x14ac:dyDescent="0.25">
      <c r="A11" s="19"/>
      <c r="B11" s="22" t="s">
        <v>142</v>
      </c>
      <c r="C11" s="22"/>
      <c r="D11" s="22"/>
      <c r="E11" s="22"/>
      <c r="F11" s="22"/>
      <c r="G11" s="26" t="s">
        <v>143</v>
      </c>
      <c r="H11" s="26"/>
      <c r="I11" s="26"/>
      <c r="J11" s="26"/>
      <c r="K11" s="26"/>
      <c r="L11" s="26"/>
      <c r="M11" s="26"/>
      <c r="N11" s="26"/>
      <c r="O11" s="26"/>
      <c r="P11" s="26"/>
      <c r="Q11" s="26"/>
      <c r="R11" s="26"/>
      <c r="S11" s="26"/>
      <c r="T11" s="26"/>
      <c r="U11" s="26"/>
      <c r="V11" s="26"/>
      <c r="W11" s="26"/>
      <c r="X11" s="26"/>
      <c r="Y11" s="26"/>
      <c r="Z11" s="26"/>
      <c r="AA11" s="26"/>
      <c r="AB11" s="26"/>
      <c r="AC11" s="26"/>
      <c r="AD11" s="26"/>
    </row>
    <row r="12" spans="1:30" x14ac:dyDescent="0.25">
      <c r="A12" s="19"/>
      <c r="B12" s="22" t="s">
        <v>144</v>
      </c>
      <c r="C12" s="22"/>
      <c r="D12" s="22"/>
      <c r="E12" s="22"/>
      <c r="F12" s="22"/>
      <c r="G12" s="31" t="s">
        <v>145</v>
      </c>
      <c r="H12" s="31"/>
      <c r="I12" s="31"/>
      <c r="J12" s="31"/>
      <c r="K12" s="31"/>
      <c r="L12" s="31"/>
      <c r="M12" s="31"/>
      <c r="N12" s="31"/>
      <c r="O12" s="31"/>
      <c r="P12" s="31"/>
      <c r="Q12" s="31"/>
      <c r="R12" s="31"/>
      <c r="S12" s="31"/>
      <c r="T12" s="31"/>
      <c r="U12" s="31"/>
      <c r="V12" s="31"/>
      <c r="W12" s="31"/>
      <c r="X12" s="31"/>
      <c r="Y12" s="31"/>
      <c r="Z12" s="31"/>
      <c r="AA12" s="31"/>
      <c r="AB12" s="31"/>
      <c r="AC12" s="31"/>
      <c r="AD12" s="31"/>
    </row>
    <row r="13" spans="1:30" x14ac:dyDescent="0.25">
      <c r="A13" s="20"/>
      <c r="B13" s="23" t="s">
        <v>146</v>
      </c>
      <c r="C13" s="23"/>
      <c r="D13" s="23"/>
      <c r="E13" s="23"/>
      <c r="F13" s="23"/>
      <c r="G13" s="32" t="s">
        <v>147</v>
      </c>
      <c r="H13" s="32"/>
      <c r="I13" s="32"/>
      <c r="J13" s="32"/>
      <c r="K13" s="32"/>
      <c r="L13" s="32"/>
      <c r="M13" s="32"/>
      <c r="N13" s="32"/>
      <c r="O13" s="32"/>
      <c r="P13" s="32"/>
      <c r="Q13" s="32"/>
      <c r="R13" s="32"/>
      <c r="S13" s="32"/>
      <c r="T13" s="32"/>
      <c r="U13" s="32"/>
      <c r="V13" s="32"/>
      <c r="W13" s="32"/>
      <c r="X13" s="32"/>
      <c r="Y13" s="32"/>
      <c r="Z13" s="32"/>
      <c r="AA13" s="32"/>
      <c r="AB13" s="32"/>
      <c r="AC13" s="32"/>
      <c r="AD13" s="32"/>
    </row>
    <row r="15" spans="1:30" ht="99.75" customHeight="1" x14ac:dyDescent="0.25">
      <c r="A15" s="62" t="s">
        <v>148</v>
      </c>
      <c r="B15" s="63"/>
      <c r="C15" s="63"/>
      <c r="D15" s="63"/>
      <c r="E15" s="63"/>
      <c r="F15" s="64"/>
      <c r="G15" s="59" t="s">
        <v>208</v>
      </c>
      <c r="H15" s="60"/>
      <c r="I15" s="60"/>
      <c r="J15" s="60"/>
      <c r="K15" s="60"/>
      <c r="L15" s="60"/>
      <c r="M15" s="60"/>
      <c r="N15" s="60"/>
      <c r="O15" s="60"/>
      <c r="P15" s="60"/>
      <c r="Q15" s="60"/>
      <c r="R15" s="60"/>
      <c r="S15" s="60"/>
      <c r="T15" s="60"/>
      <c r="U15" s="60"/>
      <c r="V15" s="60"/>
      <c r="W15" s="60"/>
      <c r="X15" s="60"/>
      <c r="Y15" s="60"/>
      <c r="Z15" s="60"/>
      <c r="AA15" s="60"/>
      <c r="AB15" s="60"/>
      <c r="AC15" s="60"/>
      <c r="AD15" s="61"/>
    </row>
    <row r="17" spans="1:30" x14ac:dyDescent="0.25">
      <c r="A17" s="48" t="s">
        <v>149</v>
      </c>
      <c r="B17" s="48"/>
      <c r="C17" s="48"/>
      <c r="D17" s="48"/>
      <c r="E17" s="48"/>
      <c r="F17" s="48"/>
      <c r="G17" s="37" t="s">
        <v>150</v>
      </c>
      <c r="H17" s="37"/>
      <c r="I17" s="37"/>
      <c r="J17" s="37"/>
      <c r="K17" s="37"/>
      <c r="L17" s="37"/>
      <c r="M17" s="37"/>
      <c r="N17" s="37"/>
      <c r="O17" s="37"/>
      <c r="P17" s="37"/>
      <c r="Q17" s="37"/>
      <c r="R17" s="37"/>
      <c r="S17" s="37"/>
      <c r="T17" s="37"/>
      <c r="U17" s="37"/>
      <c r="V17" s="37"/>
      <c r="W17" s="37"/>
      <c r="X17" s="37"/>
      <c r="Y17" s="37"/>
      <c r="Z17" s="37"/>
      <c r="AA17" s="37"/>
      <c r="AB17" s="37"/>
      <c r="AC17" s="37"/>
      <c r="AD17" s="37"/>
    </row>
    <row r="18" spans="1:30" ht="37.5" customHeight="1" x14ac:dyDescent="0.25">
      <c r="A18" s="65" t="s">
        <v>151</v>
      </c>
      <c r="B18" s="65"/>
      <c r="C18" s="65"/>
      <c r="D18" s="65"/>
      <c r="E18" s="65"/>
      <c r="F18" s="65"/>
      <c r="G18" s="41" t="s">
        <v>209</v>
      </c>
      <c r="H18" s="42"/>
      <c r="I18" s="42"/>
      <c r="J18" s="42"/>
      <c r="K18" s="42"/>
      <c r="L18" s="42"/>
      <c r="M18" s="42"/>
      <c r="N18" s="42"/>
      <c r="O18" s="42"/>
      <c r="P18" s="42"/>
      <c r="Q18" s="42"/>
      <c r="R18" s="42"/>
      <c r="S18" s="42"/>
      <c r="T18" s="42"/>
      <c r="U18" s="42"/>
      <c r="V18" s="42"/>
      <c r="W18" s="42"/>
      <c r="X18" s="42"/>
      <c r="Y18" s="42"/>
      <c r="Z18" s="42"/>
      <c r="AA18" s="42"/>
      <c r="AB18" s="42"/>
      <c r="AC18" s="42"/>
      <c r="AD18" s="42"/>
    </row>
    <row r="19" spans="1:30" x14ac:dyDescent="0.25">
      <c r="A19" s="25" t="s">
        <v>152</v>
      </c>
      <c r="B19" s="25"/>
      <c r="C19" s="25"/>
      <c r="D19" s="25"/>
      <c r="E19" s="25"/>
      <c r="F19" s="25"/>
      <c r="G19" s="43" t="s">
        <v>153</v>
      </c>
      <c r="H19" s="43"/>
      <c r="I19" s="43"/>
      <c r="J19" s="43"/>
      <c r="K19" s="43"/>
      <c r="L19" s="43"/>
      <c r="M19" s="43"/>
      <c r="N19" s="43"/>
      <c r="O19" s="43"/>
      <c r="P19" s="43"/>
      <c r="Q19" s="43"/>
      <c r="R19" s="43"/>
      <c r="S19" s="43"/>
      <c r="T19" s="43"/>
      <c r="U19" s="43"/>
      <c r="V19" s="43"/>
      <c r="W19" s="43"/>
      <c r="X19" s="43"/>
      <c r="Y19" s="43"/>
      <c r="Z19" s="43"/>
      <c r="AA19" s="43"/>
      <c r="AB19" s="43"/>
      <c r="AC19" s="43"/>
      <c r="AD19" s="43"/>
    </row>
    <row r="20" spans="1:30" x14ac:dyDescent="0.25">
      <c r="A20" s="25" t="s">
        <v>154</v>
      </c>
      <c r="B20" s="25"/>
      <c r="C20" s="25"/>
      <c r="D20" s="25"/>
      <c r="E20" s="25"/>
      <c r="F20" s="25"/>
      <c r="G20" s="42" t="s">
        <v>155</v>
      </c>
      <c r="H20" s="42"/>
      <c r="I20" s="42"/>
      <c r="J20" s="42"/>
      <c r="K20" s="42"/>
      <c r="L20" s="42"/>
      <c r="M20" s="42"/>
      <c r="N20" s="42"/>
      <c r="O20" s="42"/>
      <c r="P20" s="42"/>
      <c r="Q20" s="42"/>
      <c r="R20" s="42"/>
      <c r="S20" s="42"/>
      <c r="T20" s="42"/>
      <c r="U20" s="42"/>
      <c r="V20" s="42"/>
      <c r="W20" s="42"/>
      <c r="X20" s="42"/>
      <c r="Y20" s="42"/>
      <c r="Z20" s="42"/>
      <c r="AA20" s="42"/>
      <c r="AB20" s="42"/>
      <c r="AC20" s="42"/>
      <c r="AD20" s="42"/>
    </row>
    <row r="21" spans="1:30" x14ac:dyDescent="0.25">
      <c r="A21" s="25" t="s">
        <v>156</v>
      </c>
      <c r="B21" s="25"/>
      <c r="C21" s="25"/>
      <c r="D21" s="25"/>
      <c r="E21" s="25"/>
      <c r="F21" s="25"/>
      <c r="G21" s="44" t="s">
        <v>210</v>
      </c>
      <c r="H21" s="43"/>
      <c r="I21" s="43"/>
      <c r="J21" s="43"/>
      <c r="K21" s="43"/>
      <c r="L21" s="43"/>
      <c r="M21" s="43"/>
      <c r="N21" s="43"/>
      <c r="O21" s="43"/>
      <c r="P21" s="43"/>
      <c r="Q21" s="43"/>
      <c r="R21" s="43"/>
      <c r="S21" s="43"/>
      <c r="T21" s="43"/>
      <c r="U21" s="43"/>
      <c r="V21" s="43"/>
      <c r="W21" s="43"/>
      <c r="X21" s="43"/>
      <c r="Y21" s="43"/>
      <c r="Z21" s="43"/>
      <c r="AA21" s="43"/>
      <c r="AB21" s="43"/>
      <c r="AC21" s="43"/>
      <c r="AD21" s="43"/>
    </row>
    <row r="22" spans="1:30" ht="15" customHeight="1" x14ac:dyDescent="0.25">
      <c r="A22" s="66" t="s">
        <v>157</v>
      </c>
      <c r="B22" s="68" t="s">
        <v>158</v>
      </c>
      <c r="C22" s="68"/>
      <c r="D22" s="68"/>
      <c r="E22" s="68"/>
      <c r="F22" s="69"/>
      <c r="G22" s="38" t="str">
        <f>IF(COUNTIF($Z$36:$Z$40,"Create")&gt;0,"Create",IF(COUNTIF($Z$36:$Z$40,"Evaluate")&gt;0,"Evaluate",IF(COUNTIF($Z$36:$Z$40,"Analyze")&gt;0,"Analyze",IF(COUNTIF($Z$36:$Z$40,"Apply")&gt;0,"Apply",IF(COUNTIF($Z$36:$Z$40,"Understand")&gt;0,"Understand",IF(COUNTIF($Z$36:$Z$40,"Remember")&gt;0,"Remember",""))))))</f>
        <v>Analyze</v>
      </c>
      <c r="H22" s="39"/>
      <c r="I22" s="39"/>
      <c r="J22" s="39"/>
      <c r="K22" s="39"/>
      <c r="L22" s="7"/>
      <c r="M22" s="7"/>
      <c r="N22" s="7"/>
      <c r="O22" s="7"/>
      <c r="P22" s="7"/>
      <c r="Q22" s="7"/>
      <c r="R22" s="7"/>
      <c r="S22" s="7"/>
      <c r="T22" s="7"/>
      <c r="U22" s="7"/>
      <c r="V22" s="7"/>
      <c r="W22" s="7"/>
      <c r="X22" s="7"/>
      <c r="Y22" s="7"/>
      <c r="Z22" s="7"/>
      <c r="AA22" s="7"/>
      <c r="AB22" s="7"/>
      <c r="AC22" s="7"/>
      <c r="AD22" s="8"/>
    </row>
    <row r="23" spans="1:30" ht="67.5" customHeight="1" x14ac:dyDescent="0.25">
      <c r="A23" s="67"/>
      <c r="B23" s="70" t="s">
        <v>159</v>
      </c>
      <c r="C23" s="70"/>
      <c r="D23" s="70"/>
      <c r="E23" s="70"/>
      <c r="F23" s="71"/>
      <c r="G23" s="45" t="s">
        <v>212</v>
      </c>
      <c r="H23" s="46"/>
      <c r="I23" s="46"/>
      <c r="J23" s="46"/>
      <c r="K23" s="46"/>
      <c r="L23" s="46"/>
      <c r="M23" s="46"/>
      <c r="N23" s="46"/>
      <c r="O23" s="46"/>
      <c r="P23" s="46"/>
      <c r="Q23" s="46"/>
      <c r="R23" s="46"/>
      <c r="S23" s="46"/>
      <c r="T23" s="46"/>
      <c r="U23" s="46"/>
      <c r="V23" s="46"/>
      <c r="W23" s="46"/>
      <c r="X23" s="46"/>
      <c r="Y23" s="46"/>
      <c r="Z23" s="46"/>
      <c r="AA23" s="46"/>
      <c r="AB23" s="46"/>
      <c r="AC23" s="46"/>
      <c r="AD23" s="47"/>
    </row>
    <row r="25" spans="1:30" ht="112.5" customHeight="1" x14ac:dyDescent="0.25">
      <c r="A25" s="24" t="s">
        <v>160</v>
      </c>
      <c r="B25" s="24"/>
      <c r="C25" s="24"/>
      <c r="D25" s="24"/>
      <c r="E25" s="24"/>
      <c r="F25" s="24"/>
      <c r="G25" s="33" t="s">
        <v>213</v>
      </c>
      <c r="H25" s="40"/>
      <c r="I25" s="40"/>
      <c r="J25" s="40"/>
      <c r="K25" s="40"/>
      <c r="L25" s="40"/>
      <c r="M25" s="40"/>
      <c r="N25" s="40"/>
      <c r="O25" s="40"/>
      <c r="P25" s="40"/>
      <c r="Q25" s="40"/>
      <c r="R25" s="40"/>
      <c r="S25" s="40"/>
      <c r="T25" s="40"/>
      <c r="U25" s="40"/>
      <c r="V25" s="40"/>
      <c r="W25" s="40"/>
      <c r="X25" s="40"/>
      <c r="Y25" s="40"/>
      <c r="Z25" s="40"/>
      <c r="AA25" s="40"/>
      <c r="AB25" s="40"/>
      <c r="AC25" s="40"/>
      <c r="AD25" s="40"/>
    </row>
    <row r="27" spans="1:30" x14ac:dyDescent="0.25">
      <c r="A27" s="34" t="s">
        <v>161</v>
      </c>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6"/>
    </row>
    <row r="28" spans="1:30" ht="52.5" customHeight="1" x14ac:dyDescent="0.25">
      <c r="A28" s="75" t="s">
        <v>20</v>
      </c>
      <c r="B28" s="76"/>
      <c r="C28" s="76"/>
      <c r="D28" s="76"/>
      <c r="E28" s="76"/>
      <c r="F28" s="76"/>
      <c r="G28" s="77" t="s">
        <v>211</v>
      </c>
      <c r="H28" s="78"/>
      <c r="I28" s="78"/>
      <c r="J28" s="78"/>
      <c r="K28" s="78"/>
      <c r="L28" s="78"/>
      <c r="M28" s="78"/>
      <c r="N28" s="78"/>
      <c r="O28" s="78"/>
      <c r="P28" s="78"/>
      <c r="Q28" s="78"/>
      <c r="R28" s="78"/>
      <c r="S28" s="78"/>
      <c r="T28" s="78"/>
      <c r="U28" s="78"/>
      <c r="V28" s="78"/>
      <c r="W28" s="78"/>
      <c r="X28" s="78"/>
      <c r="Y28" s="78"/>
      <c r="Z28" s="78"/>
      <c r="AA28" s="78"/>
      <c r="AB28" s="78"/>
      <c r="AC28" s="78"/>
      <c r="AD28" s="79"/>
    </row>
    <row r="29" spans="1:30" ht="52.5" customHeight="1" x14ac:dyDescent="0.25">
      <c r="A29" s="49" t="s">
        <v>31</v>
      </c>
      <c r="B29" s="50"/>
      <c r="C29" s="50"/>
      <c r="D29" s="50"/>
      <c r="E29" s="50"/>
      <c r="F29" s="50"/>
      <c r="G29" s="72"/>
      <c r="H29" s="73"/>
      <c r="I29" s="73"/>
      <c r="J29" s="73"/>
      <c r="K29" s="73"/>
      <c r="L29" s="73"/>
      <c r="M29" s="73"/>
      <c r="N29" s="73"/>
      <c r="O29" s="73"/>
      <c r="P29" s="73"/>
      <c r="Q29" s="73"/>
      <c r="R29" s="73"/>
      <c r="S29" s="73"/>
      <c r="T29" s="73"/>
      <c r="U29" s="73"/>
      <c r="V29" s="73"/>
      <c r="W29" s="73"/>
      <c r="X29" s="73"/>
      <c r="Y29" s="73"/>
      <c r="Z29" s="73"/>
      <c r="AA29" s="73"/>
      <c r="AB29" s="73"/>
      <c r="AC29" s="73"/>
      <c r="AD29" s="74"/>
    </row>
    <row r="30" spans="1:30" ht="52.5" customHeight="1" x14ac:dyDescent="0.25">
      <c r="A30" s="49" t="s">
        <v>42</v>
      </c>
      <c r="B30" s="50"/>
      <c r="C30" s="50"/>
      <c r="D30" s="50"/>
      <c r="E30" s="50"/>
      <c r="F30" s="50"/>
      <c r="G30" s="51"/>
      <c r="H30" s="52"/>
      <c r="I30" s="52"/>
      <c r="J30" s="52"/>
      <c r="K30" s="52"/>
      <c r="L30" s="52"/>
      <c r="M30" s="52"/>
      <c r="N30" s="52"/>
      <c r="O30" s="52"/>
      <c r="P30" s="52"/>
      <c r="Q30" s="52"/>
      <c r="R30" s="52"/>
      <c r="S30" s="52"/>
      <c r="T30" s="52"/>
      <c r="U30" s="52"/>
      <c r="V30" s="52"/>
      <c r="W30" s="52"/>
      <c r="X30" s="52"/>
      <c r="Y30" s="52"/>
      <c r="Z30" s="52"/>
      <c r="AA30" s="52"/>
      <c r="AB30" s="52"/>
      <c r="AC30" s="52"/>
      <c r="AD30" s="53"/>
    </row>
    <row r="31" spans="1:30" ht="52.5" customHeight="1" x14ac:dyDescent="0.25">
      <c r="A31" s="49" t="s">
        <v>53</v>
      </c>
      <c r="B31" s="50"/>
      <c r="C31" s="50"/>
      <c r="D31" s="50"/>
      <c r="E31" s="50"/>
      <c r="F31" s="50"/>
      <c r="G31" s="72"/>
      <c r="H31" s="73"/>
      <c r="I31" s="73"/>
      <c r="J31" s="73"/>
      <c r="K31" s="73"/>
      <c r="L31" s="73"/>
      <c r="M31" s="73"/>
      <c r="N31" s="73"/>
      <c r="O31" s="73"/>
      <c r="P31" s="73"/>
      <c r="Q31" s="73"/>
      <c r="R31" s="73"/>
      <c r="S31" s="73"/>
      <c r="T31" s="73"/>
      <c r="U31" s="73"/>
      <c r="V31" s="73"/>
      <c r="W31" s="73"/>
      <c r="X31" s="73"/>
      <c r="Y31" s="73"/>
      <c r="Z31" s="73"/>
      <c r="AA31" s="73"/>
      <c r="AB31" s="73"/>
      <c r="AC31" s="73"/>
      <c r="AD31" s="74"/>
    </row>
    <row r="32" spans="1:30" ht="52.5" customHeight="1" x14ac:dyDescent="0.25">
      <c r="A32" s="54" t="s">
        <v>64</v>
      </c>
      <c r="B32" s="55"/>
      <c r="C32" s="55"/>
      <c r="D32" s="55"/>
      <c r="E32" s="55"/>
      <c r="F32" s="55"/>
      <c r="G32" s="56"/>
      <c r="H32" s="57"/>
      <c r="I32" s="57"/>
      <c r="J32" s="57"/>
      <c r="K32" s="57"/>
      <c r="L32" s="57"/>
      <c r="M32" s="57"/>
      <c r="N32" s="57"/>
      <c r="O32" s="57"/>
      <c r="P32" s="57"/>
      <c r="Q32" s="57"/>
      <c r="R32" s="57"/>
      <c r="S32" s="57"/>
      <c r="T32" s="57"/>
      <c r="U32" s="57"/>
      <c r="V32" s="57"/>
      <c r="W32" s="57"/>
      <c r="X32" s="57"/>
      <c r="Y32" s="57"/>
      <c r="Z32" s="57"/>
      <c r="AA32" s="57"/>
      <c r="AB32" s="57"/>
      <c r="AC32" s="57"/>
      <c r="AD32" s="58"/>
    </row>
    <row r="34" spans="1:30" x14ac:dyDescent="0.25">
      <c r="A34" s="34" t="s">
        <v>162</v>
      </c>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6"/>
    </row>
    <row r="35" spans="1:30" x14ac:dyDescent="0.25">
      <c r="A35" s="87" t="s">
        <v>163</v>
      </c>
      <c r="B35" s="83"/>
      <c r="C35" s="83"/>
      <c r="D35" s="83" t="s">
        <v>164</v>
      </c>
      <c r="E35" s="83"/>
      <c r="F35" s="83"/>
      <c r="G35" s="83"/>
      <c r="H35" s="83" t="s">
        <v>165</v>
      </c>
      <c r="I35" s="83"/>
      <c r="J35" s="83"/>
      <c r="K35" s="83"/>
      <c r="L35" s="83"/>
      <c r="M35" s="83"/>
      <c r="N35" s="83" t="s">
        <v>166</v>
      </c>
      <c r="O35" s="83"/>
      <c r="P35" s="83"/>
      <c r="Q35" s="83"/>
      <c r="R35" s="83"/>
      <c r="S35" s="83"/>
      <c r="T35" s="83" t="s">
        <v>167</v>
      </c>
      <c r="U35" s="83"/>
      <c r="V35" s="83"/>
      <c r="W35" s="83"/>
      <c r="X35" s="83"/>
      <c r="Y35" s="83"/>
      <c r="Z35" s="83" t="s">
        <v>168</v>
      </c>
      <c r="AA35" s="83"/>
      <c r="AB35" s="83"/>
      <c r="AC35" s="83"/>
      <c r="AD35" s="84"/>
    </row>
    <row r="36" spans="1:30" x14ac:dyDescent="0.25">
      <c r="A36" s="85" t="s">
        <v>23</v>
      </c>
      <c r="B36" s="80"/>
      <c r="C36" s="80"/>
      <c r="D36" s="80" t="s">
        <v>20</v>
      </c>
      <c r="E36" s="80"/>
      <c r="F36" s="80"/>
      <c r="G36" s="80"/>
      <c r="H36" s="86" t="s">
        <v>70</v>
      </c>
      <c r="I36" s="80"/>
      <c r="J36" s="80"/>
      <c r="K36" s="80"/>
      <c r="L36" s="80"/>
      <c r="M36" s="80"/>
      <c r="N36" s="80" t="s">
        <v>26</v>
      </c>
      <c r="O36" s="80"/>
      <c r="P36" s="80"/>
      <c r="Q36" s="80"/>
      <c r="R36" s="80"/>
      <c r="S36" s="80"/>
      <c r="T36" s="80" t="s">
        <v>82</v>
      </c>
      <c r="U36" s="80"/>
      <c r="V36" s="80"/>
      <c r="W36" s="80"/>
      <c r="X36" s="80"/>
      <c r="Y36" s="80"/>
      <c r="Z36" s="80" t="s">
        <v>46</v>
      </c>
      <c r="AA36" s="81"/>
      <c r="AB36" s="81"/>
      <c r="AC36" s="81"/>
      <c r="AD36" s="82"/>
    </row>
    <row r="37" spans="1:30" x14ac:dyDescent="0.25">
      <c r="A37" s="91"/>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3"/>
      <c r="AB37" s="93"/>
      <c r="AC37" s="93"/>
      <c r="AD37" s="94"/>
    </row>
    <row r="38" spans="1:30" x14ac:dyDescent="0.25">
      <c r="A38" s="95"/>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9"/>
      <c r="AB38" s="89"/>
      <c r="AC38" s="89"/>
      <c r="AD38" s="90"/>
    </row>
    <row r="39" spans="1:30" x14ac:dyDescent="0.25">
      <c r="A39" s="91"/>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3"/>
      <c r="AB39" s="93"/>
      <c r="AC39" s="93"/>
      <c r="AD39" s="94"/>
    </row>
    <row r="40" spans="1:30" x14ac:dyDescent="0.25">
      <c r="A40" s="99"/>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7"/>
      <c r="AB40" s="97"/>
      <c r="AC40" s="97"/>
      <c r="AD40" s="98"/>
    </row>
    <row r="42" spans="1:30" x14ac:dyDescent="0.25">
      <c r="A42" s="34" t="s">
        <v>169</v>
      </c>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6"/>
    </row>
    <row r="43" spans="1:30" ht="75" customHeight="1" x14ac:dyDescent="0.25">
      <c r="A43" s="100" t="s">
        <v>170</v>
      </c>
      <c r="B43" s="100"/>
      <c r="C43" s="100"/>
      <c r="D43" s="100"/>
      <c r="E43" s="100"/>
      <c r="F43" s="100"/>
      <c r="G43" s="102" t="s">
        <v>221</v>
      </c>
      <c r="H43" s="78"/>
      <c r="I43" s="78"/>
      <c r="J43" s="78"/>
      <c r="K43" s="78"/>
      <c r="L43" s="78"/>
      <c r="M43" s="78"/>
      <c r="N43" s="78"/>
      <c r="O43" s="78"/>
      <c r="P43" s="78"/>
      <c r="Q43" s="78"/>
      <c r="R43" s="78"/>
      <c r="S43" s="78"/>
      <c r="T43" s="78"/>
      <c r="U43" s="78"/>
      <c r="V43" s="78"/>
      <c r="W43" s="78"/>
      <c r="X43" s="78"/>
      <c r="Y43" s="78"/>
      <c r="Z43" s="78"/>
      <c r="AA43" s="78"/>
      <c r="AB43" s="78"/>
      <c r="AC43" s="78"/>
      <c r="AD43" s="79"/>
    </row>
    <row r="44" spans="1:30" ht="75" customHeight="1" x14ac:dyDescent="0.25">
      <c r="A44" s="65" t="s">
        <v>171</v>
      </c>
      <c r="B44" s="65"/>
      <c r="C44" s="65"/>
      <c r="D44" s="65"/>
      <c r="E44" s="65"/>
      <c r="F44" s="65"/>
      <c r="G44" s="103" t="s">
        <v>222</v>
      </c>
      <c r="H44" s="73"/>
      <c r="I44" s="73"/>
      <c r="J44" s="73"/>
      <c r="K44" s="73"/>
      <c r="L44" s="73"/>
      <c r="M44" s="73"/>
      <c r="N44" s="73"/>
      <c r="O44" s="73"/>
      <c r="P44" s="73"/>
      <c r="Q44" s="73"/>
      <c r="R44" s="73"/>
      <c r="S44" s="73"/>
      <c r="T44" s="73"/>
      <c r="U44" s="73"/>
      <c r="V44" s="73"/>
      <c r="W44" s="73"/>
      <c r="X44" s="73"/>
      <c r="Y44" s="73"/>
      <c r="Z44" s="73"/>
      <c r="AA44" s="73"/>
      <c r="AB44" s="73"/>
      <c r="AC44" s="73"/>
      <c r="AD44" s="74"/>
    </row>
    <row r="45" spans="1:30" ht="75" customHeight="1" x14ac:dyDescent="0.25">
      <c r="A45" s="65" t="s">
        <v>172</v>
      </c>
      <c r="B45" s="65"/>
      <c r="C45" s="65"/>
      <c r="D45" s="65"/>
      <c r="E45" s="65"/>
      <c r="F45" s="65"/>
      <c r="G45" s="104" t="s">
        <v>223</v>
      </c>
      <c r="H45" s="52"/>
      <c r="I45" s="52"/>
      <c r="J45" s="52"/>
      <c r="K45" s="52"/>
      <c r="L45" s="52"/>
      <c r="M45" s="52"/>
      <c r="N45" s="52"/>
      <c r="O45" s="52"/>
      <c r="P45" s="52"/>
      <c r="Q45" s="52"/>
      <c r="R45" s="52"/>
      <c r="S45" s="52"/>
      <c r="T45" s="52"/>
      <c r="U45" s="52"/>
      <c r="V45" s="52"/>
      <c r="W45" s="52"/>
      <c r="X45" s="52"/>
      <c r="Y45" s="52"/>
      <c r="Z45" s="52"/>
      <c r="AA45" s="52"/>
      <c r="AB45" s="52"/>
      <c r="AC45" s="52"/>
      <c r="AD45" s="53"/>
    </row>
    <row r="46" spans="1:30" ht="75" customHeight="1" x14ac:dyDescent="0.25">
      <c r="A46" s="101" t="s">
        <v>173</v>
      </c>
      <c r="B46" s="101"/>
      <c r="C46" s="101"/>
      <c r="D46" s="101"/>
      <c r="E46" s="101"/>
      <c r="F46" s="101"/>
      <c r="G46" s="105" t="s">
        <v>224</v>
      </c>
      <c r="H46" s="106"/>
      <c r="I46" s="106"/>
      <c r="J46" s="106"/>
      <c r="K46" s="106"/>
      <c r="L46" s="106"/>
      <c r="M46" s="106"/>
      <c r="N46" s="106"/>
      <c r="O46" s="106"/>
      <c r="P46" s="106"/>
      <c r="Q46" s="106"/>
      <c r="R46" s="106"/>
      <c r="S46" s="106"/>
      <c r="T46" s="106"/>
      <c r="U46" s="106"/>
      <c r="V46" s="106"/>
      <c r="W46" s="106"/>
      <c r="X46" s="106"/>
      <c r="Y46" s="106"/>
      <c r="Z46" s="106"/>
      <c r="AA46" s="106"/>
      <c r="AB46" s="106"/>
      <c r="AC46" s="106"/>
      <c r="AD46" s="107"/>
    </row>
    <row r="47" spans="1:30" ht="15" customHeight="1" x14ac:dyDescent="0.25"/>
    <row r="48" spans="1:30" x14ac:dyDescent="0.25">
      <c r="A48" s="34" t="s">
        <v>174</v>
      </c>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6"/>
    </row>
    <row r="49" spans="1:30" ht="75" customHeight="1" x14ac:dyDescent="0.25">
      <c r="A49" s="109" t="s">
        <v>170</v>
      </c>
      <c r="B49" s="109"/>
      <c r="C49" s="109"/>
      <c r="D49" s="109"/>
      <c r="E49" s="109"/>
      <c r="F49" s="109"/>
      <c r="G49" s="102" t="s">
        <v>225</v>
      </c>
      <c r="H49" s="78"/>
      <c r="I49" s="78"/>
      <c r="J49" s="78"/>
      <c r="K49" s="78"/>
      <c r="L49" s="78"/>
      <c r="M49" s="78"/>
      <c r="N49" s="78"/>
      <c r="O49" s="78"/>
      <c r="P49" s="78"/>
      <c r="Q49" s="78"/>
      <c r="R49" s="78"/>
      <c r="S49" s="78"/>
      <c r="T49" s="78"/>
      <c r="U49" s="78"/>
      <c r="V49" s="78"/>
      <c r="W49" s="78"/>
      <c r="X49" s="78"/>
      <c r="Y49" s="78"/>
      <c r="Z49" s="78"/>
      <c r="AA49" s="78"/>
      <c r="AB49" s="78"/>
      <c r="AC49" s="78"/>
      <c r="AD49" s="79"/>
    </row>
    <row r="50" spans="1:30" ht="75" customHeight="1" x14ac:dyDescent="0.25">
      <c r="A50" s="110" t="s">
        <v>175</v>
      </c>
      <c r="B50" s="110"/>
      <c r="C50" s="110"/>
      <c r="D50" s="110"/>
      <c r="E50" s="110"/>
      <c r="F50" s="110"/>
      <c r="G50" s="103" t="s">
        <v>232</v>
      </c>
      <c r="H50" s="73"/>
      <c r="I50" s="73"/>
      <c r="J50" s="73"/>
      <c r="K50" s="73"/>
      <c r="L50" s="73"/>
      <c r="M50" s="73"/>
      <c r="N50" s="73"/>
      <c r="O50" s="73"/>
      <c r="P50" s="73"/>
      <c r="Q50" s="73"/>
      <c r="R50" s="73"/>
      <c r="S50" s="73"/>
      <c r="T50" s="73"/>
      <c r="U50" s="73"/>
      <c r="V50" s="73"/>
      <c r="W50" s="73"/>
      <c r="X50" s="73"/>
      <c r="Y50" s="73"/>
      <c r="Z50" s="73"/>
      <c r="AA50" s="73"/>
      <c r="AB50" s="73"/>
      <c r="AC50" s="73"/>
      <c r="AD50" s="74"/>
    </row>
    <row r="51" spans="1:30" ht="75" customHeight="1" x14ac:dyDescent="0.25">
      <c r="A51" s="110" t="s">
        <v>176</v>
      </c>
      <c r="B51" s="110"/>
      <c r="C51" s="110"/>
      <c r="D51" s="110"/>
      <c r="E51" s="110"/>
      <c r="F51" s="110"/>
      <c r="G51" s="104" t="s">
        <v>226</v>
      </c>
      <c r="H51" s="52"/>
      <c r="I51" s="52"/>
      <c r="J51" s="52"/>
      <c r="K51" s="52"/>
      <c r="L51" s="52"/>
      <c r="M51" s="52"/>
      <c r="N51" s="52"/>
      <c r="O51" s="52"/>
      <c r="P51" s="52"/>
      <c r="Q51" s="52"/>
      <c r="R51" s="52"/>
      <c r="S51" s="52"/>
      <c r="T51" s="52"/>
      <c r="U51" s="52"/>
      <c r="V51" s="52"/>
      <c r="W51" s="52"/>
      <c r="X51" s="52"/>
      <c r="Y51" s="52"/>
      <c r="Z51" s="52"/>
      <c r="AA51" s="52"/>
      <c r="AB51" s="52"/>
      <c r="AC51" s="52"/>
      <c r="AD51" s="53"/>
    </row>
    <row r="52" spans="1:30" ht="75" customHeight="1" x14ac:dyDescent="0.25">
      <c r="A52" s="110" t="s">
        <v>177</v>
      </c>
      <c r="B52" s="110"/>
      <c r="C52" s="110"/>
      <c r="D52" s="110"/>
      <c r="E52" s="110"/>
      <c r="F52" s="110"/>
      <c r="G52" s="103" t="s">
        <v>227</v>
      </c>
      <c r="H52" s="73"/>
      <c r="I52" s="73"/>
      <c r="J52" s="73"/>
      <c r="K52" s="73"/>
      <c r="L52" s="73"/>
      <c r="M52" s="73"/>
      <c r="N52" s="73"/>
      <c r="O52" s="73"/>
      <c r="P52" s="73"/>
      <c r="Q52" s="73"/>
      <c r="R52" s="73"/>
      <c r="S52" s="73"/>
      <c r="T52" s="73"/>
      <c r="U52" s="73"/>
      <c r="V52" s="73"/>
      <c r="W52" s="73"/>
      <c r="X52" s="73"/>
      <c r="Y52" s="73"/>
      <c r="Z52" s="73"/>
      <c r="AA52" s="73"/>
      <c r="AB52" s="73"/>
      <c r="AC52" s="73"/>
      <c r="AD52" s="74"/>
    </row>
    <row r="53" spans="1:30" ht="75" customHeight="1" x14ac:dyDescent="0.25">
      <c r="A53" s="111" t="s">
        <v>178</v>
      </c>
      <c r="B53" s="111"/>
      <c r="C53" s="111"/>
      <c r="D53" s="111"/>
      <c r="E53" s="111"/>
      <c r="F53" s="111"/>
      <c r="G53" s="108" t="s">
        <v>233</v>
      </c>
      <c r="H53" s="57"/>
      <c r="I53" s="57"/>
      <c r="J53" s="57"/>
      <c r="K53" s="57"/>
      <c r="L53" s="57"/>
      <c r="M53" s="57"/>
      <c r="N53" s="57"/>
      <c r="O53" s="57"/>
      <c r="P53" s="57"/>
      <c r="Q53" s="57"/>
      <c r="R53" s="57"/>
      <c r="S53" s="57"/>
      <c r="T53" s="57"/>
      <c r="U53" s="57"/>
      <c r="V53" s="57"/>
      <c r="W53" s="57"/>
      <c r="X53" s="57"/>
      <c r="Y53" s="57"/>
      <c r="Z53" s="57"/>
      <c r="AA53" s="57"/>
      <c r="AB53" s="57"/>
      <c r="AC53" s="57"/>
      <c r="AD53" s="58"/>
    </row>
    <row r="54" spans="1:30" ht="75" customHeight="1" x14ac:dyDescent="0.25"/>
    <row r="55" spans="1:30" ht="75" customHeight="1" x14ac:dyDescent="0.25"/>
    <row r="56" spans="1:30" ht="75" customHeight="1" x14ac:dyDescent="0.25"/>
    <row r="57" spans="1:30" ht="75" customHeight="1" x14ac:dyDescent="0.25"/>
  </sheetData>
  <mergeCells count="111">
    <mergeCell ref="G50:AD50"/>
    <mergeCell ref="G51:AD51"/>
    <mergeCell ref="G52:AD52"/>
    <mergeCell ref="G53:AD53"/>
    <mergeCell ref="A49:F49"/>
    <mergeCell ref="A50:F50"/>
    <mergeCell ref="A51:F51"/>
    <mergeCell ref="A52:F52"/>
    <mergeCell ref="A53:F53"/>
    <mergeCell ref="G49:AD49"/>
    <mergeCell ref="A42:AD42"/>
    <mergeCell ref="A48:AD48"/>
    <mergeCell ref="A43:F43"/>
    <mergeCell ref="A44:F44"/>
    <mergeCell ref="A45:F45"/>
    <mergeCell ref="A46:F46"/>
    <mergeCell ref="G43:AD43"/>
    <mergeCell ref="G44:AD44"/>
    <mergeCell ref="G45:AD45"/>
    <mergeCell ref="G46:AD46"/>
    <mergeCell ref="Z40:AD40"/>
    <mergeCell ref="A39:C39"/>
    <mergeCell ref="D39:G39"/>
    <mergeCell ref="H39:M39"/>
    <mergeCell ref="N39:S39"/>
    <mergeCell ref="T39:Y39"/>
    <mergeCell ref="Z39:AD39"/>
    <mergeCell ref="A40:C40"/>
    <mergeCell ref="D40:G40"/>
    <mergeCell ref="H40:M40"/>
    <mergeCell ref="N40:S40"/>
    <mergeCell ref="T40:Y40"/>
    <mergeCell ref="Z38:AD38"/>
    <mergeCell ref="A37:C37"/>
    <mergeCell ref="D37:G37"/>
    <mergeCell ref="H37:M37"/>
    <mergeCell ref="N37:S37"/>
    <mergeCell ref="T37:Y37"/>
    <mergeCell ref="Z37:AD37"/>
    <mergeCell ref="A38:C38"/>
    <mergeCell ref="D38:G38"/>
    <mergeCell ref="H38:M38"/>
    <mergeCell ref="N38:S38"/>
    <mergeCell ref="T38:Y38"/>
    <mergeCell ref="Z36:AD36"/>
    <mergeCell ref="H35:M35"/>
    <mergeCell ref="N35:S35"/>
    <mergeCell ref="T35:Y35"/>
    <mergeCell ref="Z35:AD35"/>
    <mergeCell ref="A36:C36"/>
    <mergeCell ref="D36:G36"/>
    <mergeCell ref="H36:M36"/>
    <mergeCell ref="N36:S36"/>
    <mergeCell ref="T36:Y36"/>
    <mergeCell ref="A35:C35"/>
    <mergeCell ref="D35:G35"/>
    <mergeCell ref="G15:AD15"/>
    <mergeCell ref="A15:F15"/>
    <mergeCell ref="A18:F18"/>
    <mergeCell ref="A19:F19"/>
    <mergeCell ref="A20:F20"/>
    <mergeCell ref="A22:A23"/>
    <mergeCell ref="B22:F22"/>
    <mergeCell ref="B23:F23"/>
    <mergeCell ref="G31:AD31"/>
    <mergeCell ref="A28:F28"/>
    <mergeCell ref="G28:AD28"/>
    <mergeCell ref="A29:F29"/>
    <mergeCell ref="G29:AD29"/>
    <mergeCell ref="A30:F30"/>
    <mergeCell ref="A34:AD34"/>
    <mergeCell ref="A27:AD27"/>
    <mergeCell ref="G17:AD17"/>
    <mergeCell ref="G22:K22"/>
    <mergeCell ref="A25:F25"/>
    <mergeCell ref="G25:AD25"/>
    <mergeCell ref="G18:AD18"/>
    <mergeCell ref="G19:AD19"/>
    <mergeCell ref="G20:AD20"/>
    <mergeCell ref="G21:AD21"/>
    <mergeCell ref="G23:AD23"/>
    <mergeCell ref="A17:F17"/>
    <mergeCell ref="A31:F31"/>
    <mergeCell ref="G30:AD30"/>
    <mergeCell ref="A21:F21"/>
    <mergeCell ref="A32:F32"/>
    <mergeCell ref="G32:AD32"/>
    <mergeCell ref="A1:AD1"/>
    <mergeCell ref="A10:A13"/>
    <mergeCell ref="A4:F4"/>
    <mergeCell ref="A7:F7"/>
    <mergeCell ref="B10:F10"/>
    <mergeCell ref="B11:F11"/>
    <mergeCell ref="B12:F12"/>
    <mergeCell ref="B13:F13"/>
    <mergeCell ref="A2:F2"/>
    <mergeCell ref="A9:F9"/>
    <mergeCell ref="G9:AD9"/>
    <mergeCell ref="A5:F5"/>
    <mergeCell ref="A6:F6"/>
    <mergeCell ref="G5:AD5"/>
    <mergeCell ref="G6:AD6"/>
    <mergeCell ref="A8:F8"/>
    <mergeCell ref="G4:AD4"/>
    <mergeCell ref="G7:AD7"/>
    <mergeCell ref="G10:AD10"/>
    <mergeCell ref="G11:AD11"/>
    <mergeCell ref="G12:AD12"/>
    <mergeCell ref="G13:AD13"/>
    <mergeCell ref="G8:AD8"/>
    <mergeCell ref="G2:AD2"/>
  </mergeCells>
  <conditionalFormatting sqref="A36:Z36">
    <cfRule type="expression" dxfId="5" priority="4">
      <formula>NOT($A$36="Q1")</formula>
    </cfRule>
  </conditionalFormatting>
  <conditionalFormatting sqref="A37:Z37">
    <cfRule type="expression" dxfId="4" priority="5">
      <formula>NOT(AND($A$36="Q1",$A$37="Q2"))</formula>
    </cfRule>
  </conditionalFormatting>
  <conditionalFormatting sqref="A38:Z38">
    <cfRule type="expression" dxfId="3" priority="6">
      <formula>NOT(AND($A$36="Q1",$A$37="Q2",$A$38="Q3"))</formula>
    </cfRule>
  </conditionalFormatting>
  <conditionalFormatting sqref="A39:Z39">
    <cfRule type="expression" dxfId="2" priority="7">
      <formula>NOT(AND($A$36="Q1",$A$37="Q2",$A$38="Q3",$A$39="Q4"))</formula>
    </cfRule>
  </conditionalFormatting>
  <conditionalFormatting sqref="A40:Z40">
    <cfRule type="expression" dxfId="1" priority="8">
      <formula>NOT(AND($A$36="Q1",$A$37="Q2",$A$38="Q3",$A$39="Q4",$A$40="Q5"))</formula>
    </cfRule>
  </conditionalFormatting>
  <conditionalFormatting sqref="G28:G32">
    <cfRule type="expression" dxfId="0" priority="3">
      <formula>G28=""</formula>
    </cfRule>
  </conditionalFormatting>
  <dataValidations disablePrompts="1" count="16">
    <dataValidation showInputMessage="1" showErrorMessage="1" sqref="L22:AD22" xr:uid="{00000000-0002-0000-0100-000000000000}"/>
    <dataValidation type="list" allowBlank="1" showErrorMessage="1" errorTitle="Invalid Question ID" error="Only Q1 is allowed here, and questions must be added consecutively." sqref="A36" xr:uid="{00000000-0002-0000-0100-000001000000}">
      <formula1>INDIRECT("Lists!$S$2:$S$2")</formula1>
    </dataValidation>
    <dataValidation type="list" allowBlank="1" showErrorMessage="1" errorTitle="Invalid Question ID" error="Only Q2 is allowed here, and questions must be added consecutively." sqref="A37" xr:uid="{00000000-0002-0000-0100-000002000000}">
      <formula1>INDIRECT(IF($A$36="Q1","Lists!$S$3:$S$3","Lists!$O$2:$O$2"))</formula1>
    </dataValidation>
    <dataValidation type="list" allowBlank="1" showErrorMessage="1" errorTitle="Invalid Question ID" error="Only Q3 is allowed here, and questions must be added consecutively." sqref="A38" xr:uid="{00000000-0002-0000-0100-000003000000}">
      <formula1>INDIRECT(IF(AND($A$36="Q1",$A$37="Q2"),"Lists!$S$4:$S$4","Lists!$O$2:$O$2"))</formula1>
    </dataValidation>
    <dataValidation type="list" allowBlank="1" showErrorMessage="1" errorTitle="Invalid Question ID" error="Only Q4 is allowed here, and questions must be added consecutively." sqref="A39" xr:uid="{00000000-0002-0000-0100-000004000000}">
      <formula1>INDIRECT(IF(AND($A$36="Q1",$A$37="Q2",$A$38="Q3"),"Lists!$S$5:$S$5","Lists!$O$2:$O$2"))</formula1>
    </dataValidation>
    <dataValidation type="list" allowBlank="1" showErrorMessage="1" errorTitle="Invalid Question ID" error="Only Q5 is allowed here, and questions must be added consecutively." sqref="A40" xr:uid="{00000000-0002-0000-0100-000005000000}">
      <formula1>INDIRECT(IF(AND($A$36="Q1",$A$37="Q2",$A$38="Q3",$A$39="Q4"),"Lists!$S$6:$S$6","Lists!$O$2:$O$2"))</formula1>
    </dataValidation>
    <dataValidation type="list" allowBlank="1" sqref="D36" xr:uid="{00000000-0002-0000-0100-000006000000}">
      <formula1>INDIRECT(IF(AND($A$36="Q1",COUNTA($G$28:$G$32)&gt;0),"Lists!$M$2:$M$"&amp;1+COUNTA($G$28:$G$32),"Lists!$O$2:$O$2"))</formula1>
    </dataValidation>
    <dataValidation type="list" allowBlank="1" sqref="Z36" xr:uid="{00000000-0002-0000-0100-00000A000000}">
      <formula1>INDIRECT(IF($A$36="Q1","Lists!$A$2:$A$7","Lists!$O$2:$O$2"))</formula1>
    </dataValidation>
    <dataValidation type="list" allowBlank="1" sqref="D37" xr:uid="{00000000-0002-0000-0100-00000B000000}">
      <formula1>INDIRECT(IF(AND(AND($A$36="Q1",$A$37="Q2"),COUNTA($G$28:$G$32)&gt;0),"Lists!$M$2:$M$"&amp;1+COUNTA($G$28:$G$32),"Lists!$O$2:$O$2"))</formula1>
    </dataValidation>
    <dataValidation type="list" allowBlank="1" sqref="Z37" xr:uid="{00000000-0002-0000-0100-00000F000000}">
      <formula1>INDIRECT(IF(AND($A$36="Q1",$A$37="Q2"),"Lists!$A$2:$A$7","Lists!$O$2:$O$2"))</formula1>
    </dataValidation>
    <dataValidation type="list" allowBlank="1" sqref="D38" xr:uid="{00000000-0002-0000-0100-000010000000}">
      <formula1>INDIRECT(IF(AND(AND($A$36="Q1",$A$37="Q2",$A$38="Q3"),COUNTA($G$28:$G$32)&gt;0),"Lists!$M$2:$M$"&amp;1+COUNTA($G$28:$G$32),"Lists!$O$2:$O$2"))</formula1>
    </dataValidation>
    <dataValidation type="list" allowBlank="1" sqref="Z38" xr:uid="{00000000-0002-0000-0100-000014000000}">
      <formula1>INDIRECT(IF(AND($A$36="Q1",$A$37="Q2",$A$38="Q3"),"Lists!$A$2:$A$7","Lists!$O$2:$O$2"))</formula1>
    </dataValidation>
    <dataValidation type="list" allowBlank="1" sqref="D39" xr:uid="{00000000-0002-0000-0100-000015000000}">
      <formula1>INDIRECT(IF(AND(AND($A$36="Q1",$A$37="Q2",$A$38="Q3",$A$39="Q4"),COUNTA($G$28:$G$32)&gt;0),"Lists!$M$2:$M$"&amp;1+COUNTA($G$28:$G$32),"Lists!$O$2:$O$2"))</formula1>
    </dataValidation>
    <dataValidation type="list" allowBlank="1" sqref="Z39" xr:uid="{00000000-0002-0000-0100-000019000000}">
      <formula1>INDIRECT(IF(AND($A$36="Q1",$A$37="Q2",$A$38="Q3",$A$39="Q4"),"Lists!$A$2:$A$7","Lists!$O$2:$O$2"))</formula1>
    </dataValidation>
    <dataValidation type="list" allowBlank="1" sqref="D40" xr:uid="{00000000-0002-0000-0100-00001A000000}">
      <formula1>INDIRECT(IF(AND(AND($A$36="Q1",$A$37="Q2",$A$38="Q3",$A$39="Q4",$A$40="Q5"),COUNTA($G$28:$G$32)&gt;0),"Lists!$M$2:$M$"&amp;1+COUNTA($G$28:$G$32),"Lists!$O$2:$O$2"))</formula1>
    </dataValidation>
    <dataValidation type="list" allowBlank="1" sqref="Z40" xr:uid="{00000000-0002-0000-0100-00001E000000}">
      <formula1>INDIRECT(IF(AND($A$36="Q1",$A$37="Q2",$A$38="Q3",$A$39="Q4",$A$40="Q5"),"Lists!$A$2:$A$7","Lists!$O$2:$O$2"))</formula1>
    </dataValidation>
  </dataValidations>
  <hyperlinks>
    <hyperlink ref="G9" r:id="rId1" xr:uid="{AA3400DD-1C08-4037-8529-8CC1613D0CD7}"/>
  </hyperlinks>
  <pageMargins left="0.51181102362204722" right="0.51181102362204722" top="0.74803149606299213" bottom="0.74803149606299213" header="0.31496062992125984" footer="0.31496062992125984"/>
  <pageSetup paperSize="9" orientation="portrait" horizontalDpi="0" verticalDpi="0" r:id="rId2"/>
  <extLst>
    <ext xmlns:x14="http://schemas.microsoft.com/office/spreadsheetml/2009/9/main" uri="{CCE6A557-97BC-4b89-ADB6-D9C93CAAB3DF}">
      <x14:dataValidations xmlns:xm="http://schemas.microsoft.com/office/excel/2006/main" disablePrompts="1" count="15">
        <x14:dataValidation type="list" allowBlank="1" xr:uid="{00000000-0002-0000-0100-000007000000}">
          <x14:formula1>
            <xm:f>INDIRECT(IF($A$36="Q1","Lists!$D$2:$D$"&amp;COUNTA(Lists!$D:$D),"Lists!$O$2:$O$2"))</xm:f>
          </x14:formula1>
          <xm:sqref>H36</xm:sqref>
        </x14:dataValidation>
        <x14:dataValidation type="list" allowBlank="1" xr:uid="{00000000-0002-0000-0100-000008000000}">
          <x14:formula1>
            <xm:f>INDIRECT(IF($A$36="Q1","Lists!$G$2:$G$"&amp;COUNTA(Lists!$G:$G),"Lists!$O$2:$O$2"))</xm:f>
          </x14:formula1>
          <xm:sqref>N36</xm:sqref>
        </x14:dataValidation>
        <x14:dataValidation type="list" allowBlank="1" xr:uid="{00000000-0002-0000-0100-000009000000}">
          <x14:formula1>
            <xm:f>INDIRECT(IF($A$36="Q1","Lists!$J$2:$J$"&amp;COUNTA(Lists!$J:$J),"Lists!$O$2:$O$2"))</xm:f>
          </x14:formula1>
          <xm:sqref>T36</xm:sqref>
        </x14:dataValidation>
        <x14:dataValidation type="list" allowBlank="1" xr:uid="{00000000-0002-0000-0100-00000C000000}">
          <x14:formula1>
            <xm:f>INDIRECT(IF(AND($A$36="Q1",$A$37="Q2"),"Lists!$D$2:$D$"&amp;COUNTA(Lists!$D:$D),"Lists!$O$2:$O$2"))</xm:f>
          </x14:formula1>
          <xm:sqref>H37</xm:sqref>
        </x14:dataValidation>
        <x14:dataValidation type="list" allowBlank="1" xr:uid="{00000000-0002-0000-0100-00000D000000}">
          <x14:formula1>
            <xm:f>INDIRECT(IF(AND($A$36="Q1",$A$37="Q2"),"Lists!$G$2:$G$"&amp;COUNTA(Lists!$G:$G),"Lists!$O$2:$O$2"))</xm:f>
          </x14:formula1>
          <xm:sqref>N37</xm:sqref>
        </x14:dataValidation>
        <x14:dataValidation type="list" allowBlank="1" xr:uid="{00000000-0002-0000-0100-00000E000000}">
          <x14:formula1>
            <xm:f>INDIRECT(IF(AND($A$36="Q1",$A$37="Q2"),"Lists!$J$2:$J$"&amp;COUNTA(Lists!$J:$J),"Lists!$O$2:$O$2"))</xm:f>
          </x14:formula1>
          <xm:sqref>T37</xm:sqref>
        </x14:dataValidation>
        <x14:dataValidation type="list" allowBlank="1" xr:uid="{00000000-0002-0000-0100-000011000000}">
          <x14:formula1>
            <xm:f>INDIRECT(IF(AND($A$36="Q1",$A$37="Q2",$A$38="Q3"),"Lists!$D$2:$D$"&amp;COUNTA(Lists!$D:$D),"Lists!$O$2:$O$2"))</xm:f>
          </x14:formula1>
          <xm:sqref>H38</xm:sqref>
        </x14:dataValidation>
        <x14:dataValidation type="list" allowBlank="1" xr:uid="{00000000-0002-0000-0100-000012000000}">
          <x14:formula1>
            <xm:f>INDIRECT(IF(AND($A$36="Q1",$A$37="Q2",$A$38="Q3"),"Lists!$G$2:$G$"&amp;COUNTA(Lists!$G:$G),"Lists!$O$2:$O$2"))</xm:f>
          </x14:formula1>
          <xm:sqref>N38</xm:sqref>
        </x14:dataValidation>
        <x14:dataValidation type="list" allowBlank="1" xr:uid="{00000000-0002-0000-0100-000013000000}">
          <x14:formula1>
            <xm:f>INDIRECT(IF(AND($A$36="Q1",$A$37="Q2",$A$38="Q3"),"Lists!$J$2:$J$"&amp;COUNTA(Lists!$J:$J),"Lists!$O$2:$O$2"))</xm:f>
          </x14:formula1>
          <xm:sqref>T38</xm:sqref>
        </x14:dataValidation>
        <x14:dataValidation type="list" allowBlank="1" xr:uid="{00000000-0002-0000-0100-000016000000}">
          <x14:formula1>
            <xm:f>INDIRECT(IF(AND($A$36="Q1",$A$37="Q2",$A$38="Q3",$A$39="Q4"),"Lists!$D$2:$D$"&amp;COUNTA(Lists!$D:$D),"Lists!$O$2:$O$2"))</xm:f>
          </x14:formula1>
          <xm:sqref>H39</xm:sqref>
        </x14:dataValidation>
        <x14:dataValidation type="list" allowBlank="1" xr:uid="{00000000-0002-0000-0100-000017000000}">
          <x14:formula1>
            <xm:f>INDIRECT(IF(AND($A$36="Q1",$A$37="Q2",$A$38="Q3",$A$39="Q4"),"Lists!$G$2:$G$"&amp;COUNTA(Lists!$G:$G),"Lists!$O$2:$O$2"))</xm:f>
          </x14:formula1>
          <xm:sqref>N39</xm:sqref>
        </x14:dataValidation>
        <x14:dataValidation type="list" allowBlank="1" xr:uid="{00000000-0002-0000-0100-000018000000}">
          <x14:formula1>
            <xm:f>INDIRECT(IF(AND($A$36="Q1",$A$37="Q2",$A$38="Q3",$A$39="Q4"),"Lists!$J$2:$J$"&amp;COUNTA(Lists!$J:$J),"Lists!$O$2:$O$2"))</xm:f>
          </x14:formula1>
          <xm:sqref>T39</xm:sqref>
        </x14:dataValidation>
        <x14:dataValidation type="list" allowBlank="1" xr:uid="{00000000-0002-0000-0100-00001B000000}">
          <x14:formula1>
            <xm:f>INDIRECT(IF(AND($A$36="Q1",$A$37="Q2",$A$38="Q3",$A$39="Q4",$A$40="Q5"),"Lists!$D$2:$D$"&amp;COUNTA(Lists!$D:$D),"Lists!$O$2:$O$2"))</xm:f>
          </x14:formula1>
          <xm:sqref>H40</xm:sqref>
        </x14:dataValidation>
        <x14:dataValidation type="list" allowBlank="1" xr:uid="{00000000-0002-0000-0100-00001C000000}">
          <x14:formula1>
            <xm:f>INDIRECT(IF(AND($A$36="Q1",$A$37="Q2",$A$38="Q3",$A$39="Q4",$A$40="Q5"),"Lists!$G$2:$G$"&amp;COUNTA(Lists!$G:$G),"Lists!$O$2:$O$2"))</xm:f>
          </x14:formula1>
          <xm:sqref>N40</xm:sqref>
        </x14:dataValidation>
        <x14:dataValidation type="list" allowBlank="1" xr:uid="{00000000-0002-0000-0100-00001D000000}">
          <x14:formula1>
            <xm:f>INDIRECT(IF(AND($A$36="Q1",$A$37="Q2",$A$38="Q3",$A$39="Q4",$A$40="Q5"),"Lists!$J$2:$J$"&amp;COUNTA(Lists!$J:$J),"Lists!$O$2:$O$2"))</xm:f>
          </x14:formula1>
          <xm:sqref>T40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1"/>
  <sheetViews>
    <sheetView showGridLines="0" view="pageBreakPreview" zoomScale="115" zoomScaleNormal="130" zoomScaleSheetLayoutView="115" workbookViewId="0">
      <selection activeCell="G17" sqref="G17:AD17"/>
    </sheetView>
  </sheetViews>
  <sheetFormatPr defaultColWidth="3" defaultRowHeight="15" customHeight="1" x14ac:dyDescent="0.25"/>
  <sheetData>
    <row r="1" spans="1:30" ht="30" customHeight="1" x14ac:dyDescent="0.25">
      <c r="A1" s="163" t="str">
        <f xml:space="preserve"> "ACTIVITY " &amp; 'Activity Info'!G4 &amp; " — QUESTION 1"</f>
        <v>ACTIVITY CB-002 — QUESTION 1</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row>
    <row r="2" spans="1:30" ht="15" customHeight="1" x14ac:dyDescent="0.25">
      <c r="A2" s="134"/>
      <c r="B2" s="134"/>
      <c r="C2" s="134"/>
      <c r="D2" s="134"/>
      <c r="E2" s="134"/>
      <c r="F2" s="134"/>
      <c r="G2" s="134"/>
      <c r="H2" s="134"/>
      <c r="I2" s="134"/>
      <c r="J2" s="134"/>
      <c r="K2" s="134"/>
      <c r="L2" s="134"/>
    </row>
    <row r="3" spans="1:30" ht="15" customHeight="1" x14ac:dyDescent="0.25">
      <c r="A3" s="135" t="s">
        <v>156</v>
      </c>
      <c r="B3" s="136"/>
      <c r="C3" s="136"/>
      <c r="D3" s="136"/>
      <c r="E3" s="136"/>
      <c r="F3" s="137"/>
      <c r="G3" s="138" t="s">
        <v>229</v>
      </c>
      <c r="H3" s="138"/>
      <c r="I3" s="138"/>
      <c r="J3" s="138"/>
      <c r="K3" s="138"/>
      <c r="L3" s="138"/>
      <c r="M3" s="138"/>
      <c r="N3" s="138"/>
      <c r="O3" s="138"/>
      <c r="P3" s="138"/>
      <c r="Q3" s="138"/>
      <c r="R3" s="138"/>
      <c r="S3" s="138"/>
      <c r="T3" s="138"/>
      <c r="U3" s="138"/>
      <c r="V3" s="138"/>
      <c r="W3" s="138"/>
      <c r="X3" s="138"/>
      <c r="Y3" s="138"/>
      <c r="Z3" s="138"/>
      <c r="AA3" s="138"/>
      <c r="AB3" s="138"/>
      <c r="AC3" s="138"/>
      <c r="AD3" s="139"/>
    </row>
    <row r="4" spans="1:30" ht="52.5" customHeight="1" x14ac:dyDescent="0.25">
      <c r="A4" s="119" t="s">
        <v>179</v>
      </c>
      <c r="B4" s="120"/>
      <c r="C4" s="120"/>
      <c r="D4" s="120"/>
      <c r="E4" s="120"/>
      <c r="F4" s="121"/>
      <c r="G4" s="142" t="str">
        <f>IF('Activity Info'!D36&lt;&gt;"",VLOOKUP('Activity Info'!D36,'Activity Info'!A28:G32,7),"")</f>
        <v>The student will be able to analyze the effect of reactor hydraulic retention time on steady-state substrate removal using HRT calculations and CEMBench ASM simulation results.</v>
      </c>
      <c r="H4" s="142"/>
      <c r="I4" s="142"/>
      <c r="J4" s="142"/>
      <c r="K4" s="142"/>
      <c r="L4" s="142"/>
      <c r="M4" s="142"/>
      <c r="N4" s="142"/>
      <c r="O4" s="142"/>
      <c r="P4" s="142"/>
      <c r="Q4" s="142"/>
      <c r="R4" s="142"/>
      <c r="S4" s="142"/>
      <c r="T4" s="142"/>
      <c r="U4" s="142"/>
      <c r="V4" s="142"/>
      <c r="W4" s="142"/>
      <c r="X4" s="142"/>
      <c r="Y4" s="142"/>
      <c r="Z4" s="142"/>
      <c r="AA4" s="142"/>
      <c r="AB4" s="142"/>
      <c r="AC4" s="142"/>
      <c r="AD4" s="143"/>
    </row>
    <row r="5" spans="1:30" ht="15" customHeight="1" x14ac:dyDescent="0.25">
      <c r="A5" s="122" t="s">
        <v>2</v>
      </c>
      <c r="B5" s="123"/>
      <c r="C5" s="123"/>
      <c r="D5" s="123"/>
      <c r="E5" s="123"/>
      <c r="F5" s="124"/>
      <c r="G5" s="140" t="str">
        <f>IF('Activity Info'!H36&lt;&gt;"",'Activity Info'!H36,"")</f>
        <v>PO-6</v>
      </c>
      <c r="H5" s="140"/>
      <c r="I5" s="140"/>
      <c r="J5" s="140"/>
      <c r="K5" s="140"/>
      <c r="L5" s="140"/>
      <c r="M5" s="140"/>
      <c r="N5" s="140"/>
      <c r="O5" s="140"/>
      <c r="P5" s="140"/>
      <c r="Q5" s="140"/>
      <c r="R5" s="140"/>
      <c r="S5" s="140"/>
      <c r="T5" s="140"/>
      <c r="U5" s="140"/>
      <c r="V5" s="140"/>
      <c r="W5" s="140"/>
      <c r="X5" s="140"/>
      <c r="Y5" s="140"/>
      <c r="Z5" s="140"/>
      <c r="AA5" s="140"/>
      <c r="AB5" s="140"/>
      <c r="AC5" s="140"/>
      <c r="AD5" s="141"/>
    </row>
    <row r="6" spans="1:30" ht="15" customHeight="1" x14ac:dyDescent="0.25">
      <c r="A6" s="122" t="s">
        <v>4</v>
      </c>
      <c r="B6" s="123"/>
      <c r="C6" s="123"/>
      <c r="D6" s="123"/>
      <c r="E6" s="123"/>
      <c r="F6" s="124"/>
      <c r="G6" s="140" t="str">
        <f>IF('Activity Info'!N36&lt;&gt;"",'Activity Info'!N36,"")</f>
        <v>PO-2</v>
      </c>
      <c r="H6" s="140"/>
      <c r="I6" s="140"/>
      <c r="J6" s="140"/>
      <c r="K6" s="140"/>
      <c r="L6" s="140"/>
      <c r="M6" s="140"/>
      <c r="N6" s="140"/>
      <c r="O6" s="140"/>
      <c r="P6" s="140"/>
      <c r="Q6" s="140"/>
      <c r="R6" s="140"/>
      <c r="S6" s="140"/>
      <c r="T6" s="140"/>
      <c r="U6" s="140"/>
      <c r="V6" s="140"/>
      <c r="W6" s="140"/>
      <c r="X6" s="140"/>
      <c r="Y6" s="140"/>
      <c r="Z6" s="140"/>
      <c r="AA6" s="140"/>
      <c r="AB6" s="140"/>
      <c r="AC6" s="140"/>
      <c r="AD6" s="141"/>
    </row>
    <row r="7" spans="1:30" ht="15" customHeight="1" x14ac:dyDescent="0.25">
      <c r="A7" s="122" t="s">
        <v>6</v>
      </c>
      <c r="B7" s="123"/>
      <c r="C7" s="123"/>
      <c r="D7" s="123"/>
      <c r="E7" s="123"/>
      <c r="F7" s="124"/>
      <c r="G7" s="140" t="str">
        <f>IF('Activity Info'!T36&lt;&gt;"",'Activity Info'!T36,"")</f>
        <v>PÇ-4.1</v>
      </c>
      <c r="H7" s="140"/>
      <c r="I7" s="140"/>
      <c r="J7" s="140"/>
      <c r="K7" s="140"/>
      <c r="L7" s="140"/>
      <c r="M7" s="140"/>
      <c r="N7" s="140"/>
      <c r="O7" s="140"/>
      <c r="P7" s="140"/>
      <c r="Q7" s="140"/>
      <c r="R7" s="140"/>
      <c r="S7" s="140"/>
      <c r="T7" s="140"/>
      <c r="U7" s="140"/>
      <c r="V7" s="140"/>
      <c r="W7" s="140"/>
      <c r="X7" s="140"/>
      <c r="Y7" s="140"/>
      <c r="Z7" s="140"/>
      <c r="AA7" s="140"/>
      <c r="AB7" s="140"/>
      <c r="AC7" s="140"/>
      <c r="AD7" s="141"/>
    </row>
    <row r="8" spans="1:30" ht="15" customHeight="1" x14ac:dyDescent="0.25">
      <c r="A8" s="144" t="s">
        <v>168</v>
      </c>
      <c r="B8" s="145"/>
      <c r="C8" s="145"/>
      <c r="D8" s="145"/>
      <c r="E8" s="145"/>
      <c r="F8" s="146"/>
      <c r="G8" s="130" t="str">
        <f>IF('Activity Info'!Z36&lt;&gt;"",'Activity Info'!Z36,"")</f>
        <v>Analyze</v>
      </c>
      <c r="H8" s="130"/>
      <c r="I8" s="130"/>
      <c r="J8" s="130"/>
      <c r="K8" s="130"/>
      <c r="L8" s="130"/>
      <c r="M8" s="130"/>
      <c r="N8" s="130"/>
      <c r="O8" s="130"/>
      <c r="P8" s="130"/>
      <c r="Q8" s="130"/>
      <c r="R8" s="130"/>
      <c r="S8" s="130"/>
      <c r="T8" s="130"/>
      <c r="U8" s="130"/>
      <c r="V8" s="130"/>
      <c r="W8" s="130"/>
      <c r="X8" s="130"/>
      <c r="Y8" s="130"/>
      <c r="Z8" s="130"/>
      <c r="AA8" s="130"/>
      <c r="AB8" s="130"/>
      <c r="AC8" s="130"/>
      <c r="AD8" s="131"/>
    </row>
    <row r="9" spans="1:30" ht="15" customHeight="1" x14ac:dyDescent="0.25">
      <c r="A9" s="132"/>
      <c r="B9" s="132"/>
      <c r="C9" s="132"/>
      <c r="D9" s="132"/>
      <c r="E9" s="132"/>
      <c r="F9" s="132"/>
      <c r="G9" s="133"/>
      <c r="H9" s="133"/>
      <c r="I9" s="133"/>
      <c r="J9" s="133"/>
      <c r="K9" s="133"/>
      <c r="L9" s="133"/>
      <c r="M9" s="133"/>
      <c r="N9" s="133"/>
      <c r="O9" s="133"/>
      <c r="P9" s="133"/>
      <c r="Q9" s="133"/>
      <c r="R9" s="133"/>
      <c r="S9" s="133"/>
      <c r="T9" s="133"/>
      <c r="U9" s="133"/>
      <c r="V9" s="133"/>
      <c r="W9" s="133"/>
      <c r="X9" s="133"/>
      <c r="Y9" s="133"/>
      <c r="Z9" s="133"/>
      <c r="AA9" s="133"/>
      <c r="AB9" s="133"/>
      <c r="AC9" s="133"/>
      <c r="AD9" s="133"/>
    </row>
    <row r="10" spans="1:30" ht="145.5" customHeight="1" x14ac:dyDescent="0.25">
      <c r="A10" s="114" t="s">
        <v>180</v>
      </c>
      <c r="B10" s="114"/>
      <c r="C10" s="114"/>
      <c r="D10" s="114"/>
      <c r="E10" s="114"/>
      <c r="F10" s="114"/>
      <c r="G10" s="115" t="s">
        <v>230</v>
      </c>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row>
    <row r="11" spans="1:30" ht="15" customHeight="1" x14ac:dyDescent="0.25">
      <c r="A11" s="12"/>
      <c r="B11" s="12"/>
      <c r="C11" s="12"/>
      <c r="D11" s="12"/>
      <c r="E11" s="12"/>
      <c r="F11" s="12"/>
      <c r="G11" s="12"/>
      <c r="H11" s="12"/>
      <c r="I11" s="12"/>
      <c r="J11" s="12"/>
      <c r="K11" s="12"/>
      <c r="L11" s="12"/>
    </row>
    <row r="12" spans="1:30" ht="15" customHeight="1" x14ac:dyDescent="0.25">
      <c r="A12" s="164" t="s">
        <v>184</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6"/>
    </row>
    <row r="13" spans="1:30" ht="15" customHeight="1" x14ac:dyDescent="0.25">
      <c r="A13" s="150" t="s">
        <v>181</v>
      </c>
      <c r="B13" s="151"/>
      <c r="C13" s="151"/>
      <c r="D13" s="151"/>
      <c r="E13" s="151"/>
      <c r="F13" s="152"/>
      <c r="G13" s="153" t="s">
        <v>203</v>
      </c>
      <c r="H13" s="153"/>
      <c r="I13" s="153"/>
      <c r="J13" s="153"/>
      <c r="K13" s="153"/>
      <c r="L13" s="153"/>
      <c r="M13" s="153"/>
      <c r="N13" s="153"/>
      <c r="O13" s="153"/>
      <c r="P13" s="153"/>
      <c r="Q13" s="153"/>
      <c r="R13" s="153"/>
      <c r="S13" s="153"/>
      <c r="T13" s="153"/>
      <c r="U13" s="153"/>
      <c r="V13" s="153"/>
      <c r="W13" s="153"/>
      <c r="X13" s="153"/>
      <c r="Y13" s="153"/>
      <c r="Z13" s="153"/>
      <c r="AA13" s="153"/>
      <c r="AB13" s="153"/>
      <c r="AC13" s="153"/>
      <c r="AD13" s="154"/>
    </row>
    <row r="14" spans="1:30" ht="15" customHeight="1" x14ac:dyDescent="0.25">
      <c r="A14" s="171" t="s">
        <v>186</v>
      </c>
      <c r="B14" s="167" t="s">
        <v>190</v>
      </c>
      <c r="C14" s="167"/>
      <c r="D14" s="167"/>
      <c r="E14" s="167"/>
      <c r="F14" s="168"/>
      <c r="G14" s="112" t="s">
        <v>187</v>
      </c>
      <c r="H14" s="112"/>
      <c r="I14" s="112"/>
      <c r="J14" s="112"/>
      <c r="K14" s="112"/>
      <c r="L14" s="112"/>
      <c r="M14" s="112"/>
      <c r="N14" s="112"/>
      <c r="O14" s="112"/>
      <c r="P14" s="112"/>
      <c r="Q14" s="112"/>
      <c r="R14" s="112"/>
      <c r="S14" s="112"/>
      <c r="T14" s="112"/>
      <c r="U14" s="112"/>
      <c r="V14" s="112"/>
      <c r="W14" s="112"/>
      <c r="X14" s="112"/>
      <c r="Y14" s="112"/>
      <c r="Z14" s="112"/>
      <c r="AA14" s="112"/>
      <c r="AB14" s="112"/>
      <c r="AC14" s="112"/>
      <c r="AD14" s="113"/>
    </row>
    <row r="15" spans="1:30" ht="15" customHeight="1" x14ac:dyDescent="0.25">
      <c r="A15" s="172"/>
      <c r="B15" s="174" t="s">
        <v>189</v>
      </c>
      <c r="C15" s="174"/>
      <c r="D15" s="174"/>
      <c r="E15" s="174"/>
      <c r="F15" s="175"/>
      <c r="G15" s="176" t="s">
        <v>191</v>
      </c>
      <c r="H15" s="176"/>
      <c r="I15" s="176"/>
      <c r="J15" s="176"/>
      <c r="K15" s="176"/>
      <c r="L15" s="176"/>
      <c r="M15" s="176"/>
      <c r="N15" s="176"/>
      <c r="O15" s="176"/>
      <c r="P15" s="176"/>
      <c r="Q15" s="176"/>
      <c r="R15" s="176"/>
      <c r="S15" s="176"/>
      <c r="T15" s="176"/>
      <c r="U15" s="176"/>
      <c r="V15" s="176"/>
      <c r="W15" s="176"/>
      <c r="X15" s="176"/>
      <c r="Y15" s="176"/>
      <c r="Z15" s="176"/>
      <c r="AA15" s="176"/>
      <c r="AB15" s="176"/>
      <c r="AC15" s="176"/>
      <c r="AD15" s="177"/>
    </row>
    <row r="16" spans="1:30" ht="30" customHeight="1" x14ac:dyDescent="0.25">
      <c r="A16" s="173"/>
      <c r="B16" s="169" t="s">
        <v>185</v>
      </c>
      <c r="C16" s="169"/>
      <c r="D16" s="169"/>
      <c r="E16" s="169"/>
      <c r="F16" s="170"/>
      <c r="G16" s="156" t="s">
        <v>188</v>
      </c>
      <c r="H16" s="156"/>
      <c r="I16" s="156"/>
      <c r="J16" s="156"/>
      <c r="K16" s="156"/>
      <c r="L16" s="156"/>
      <c r="M16" s="156"/>
      <c r="N16" s="156"/>
      <c r="O16" s="156"/>
      <c r="P16" s="156"/>
      <c r="Q16" s="156"/>
      <c r="R16" s="156"/>
      <c r="S16" s="156"/>
      <c r="T16" s="156"/>
      <c r="U16" s="156"/>
      <c r="V16" s="156"/>
      <c r="W16" s="156"/>
      <c r="X16" s="156"/>
      <c r="Y16" s="156"/>
      <c r="Z16" s="156"/>
      <c r="AA16" s="156"/>
      <c r="AB16" s="156"/>
      <c r="AC16" s="156"/>
      <c r="AD16" s="157"/>
    </row>
    <row r="17" spans="1:30" ht="15" customHeight="1" x14ac:dyDescent="0.25">
      <c r="A17" s="147" t="s">
        <v>199</v>
      </c>
      <c r="B17" s="120" t="s">
        <v>192</v>
      </c>
      <c r="C17" s="120"/>
      <c r="D17" s="120"/>
      <c r="E17" s="120"/>
      <c r="F17" s="121"/>
      <c r="G17" s="158" t="s">
        <v>231</v>
      </c>
      <c r="H17" s="158"/>
      <c r="I17" s="158"/>
      <c r="J17" s="158"/>
      <c r="K17" s="158"/>
      <c r="L17" s="158"/>
      <c r="M17" s="158"/>
      <c r="N17" s="158"/>
      <c r="O17" s="158"/>
      <c r="P17" s="158"/>
      <c r="Q17" s="158"/>
      <c r="R17" s="158"/>
      <c r="S17" s="158"/>
      <c r="T17" s="158"/>
      <c r="U17" s="158"/>
      <c r="V17" s="158"/>
      <c r="W17" s="158"/>
      <c r="X17" s="158"/>
      <c r="Y17" s="158"/>
      <c r="Z17" s="158"/>
      <c r="AA17" s="158"/>
      <c r="AB17" s="158"/>
      <c r="AC17" s="158"/>
      <c r="AD17" s="159"/>
    </row>
    <row r="18" spans="1:30" ht="15" customHeight="1" x14ac:dyDescent="0.25">
      <c r="A18" s="148"/>
      <c r="B18" s="120" t="s">
        <v>193</v>
      </c>
      <c r="C18" s="120"/>
      <c r="D18" s="120"/>
      <c r="E18" s="120"/>
      <c r="F18" s="121"/>
      <c r="G18" s="142" t="s">
        <v>196</v>
      </c>
      <c r="H18" s="142"/>
      <c r="I18" s="142"/>
      <c r="J18" s="142"/>
      <c r="K18" s="142"/>
      <c r="L18" s="142"/>
      <c r="M18" s="142"/>
      <c r="N18" s="142"/>
      <c r="O18" s="142"/>
      <c r="P18" s="142"/>
      <c r="Q18" s="142"/>
      <c r="R18" s="142"/>
      <c r="S18" s="142"/>
      <c r="T18" s="142"/>
      <c r="U18" s="142"/>
      <c r="V18" s="142"/>
      <c r="W18" s="142"/>
      <c r="X18" s="142"/>
      <c r="Y18" s="142"/>
      <c r="Z18" s="142"/>
      <c r="AA18" s="142"/>
      <c r="AB18" s="142"/>
      <c r="AC18" s="142"/>
      <c r="AD18" s="143"/>
    </row>
    <row r="19" spans="1:30" ht="15" customHeight="1" x14ac:dyDescent="0.25">
      <c r="A19" s="148"/>
      <c r="B19" s="120" t="s">
        <v>197</v>
      </c>
      <c r="C19" s="120"/>
      <c r="D19" s="120"/>
      <c r="E19" s="120"/>
      <c r="F19" s="121"/>
      <c r="G19" s="142" t="s">
        <v>198</v>
      </c>
      <c r="H19" s="142"/>
      <c r="I19" s="142"/>
      <c r="J19" s="142"/>
      <c r="K19" s="142"/>
      <c r="L19" s="142"/>
      <c r="M19" s="142"/>
      <c r="N19" s="142"/>
      <c r="O19" s="142"/>
      <c r="P19" s="142"/>
      <c r="Q19" s="142"/>
      <c r="R19" s="142"/>
      <c r="S19" s="142"/>
      <c r="T19" s="142"/>
      <c r="U19" s="142"/>
      <c r="V19" s="142"/>
      <c r="W19" s="142"/>
      <c r="X19" s="142"/>
      <c r="Y19" s="142"/>
      <c r="Z19" s="142"/>
      <c r="AA19" s="142"/>
      <c r="AB19" s="142"/>
      <c r="AC19" s="142"/>
      <c r="AD19" s="143"/>
    </row>
    <row r="20" spans="1:30" ht="30" customHeight="1" x14ac:dyDescent="0.25">
      <c r="A20" s="149"/>
      <c r="B20" s="120" t="s">
        <v>194</v>
      </c>
      <c r="C20" s="120"/>
      <c r="D20" s="120"/>
      <c r="E20" s="120"/>
      <c r="F20" s="121"/>
      <c r="G20" s="155" t="s">
        <v>195</v>
      </c>
      <c r="H20" s="125"/>
      <c r="I20" s="125"/>
      <c r="J20" s="125"/>
      <c r="K20" s="125"/>
      <c r="L20" s="125"/>
      <c r="M20" s="125"/>
      <c r="N20" s="125"/>
      <c r="O20" s="125"/>
      <c r="P20" s="125"/>
      <c r="Q20" s="125"/>
      <c r="R20" s="125"/>
      <c r="S20" s="125"/>
      <c r="T20" s="125"/>
      <c r="U20" s="125"/>
      <c r="V20" s="125"/>
      <c r="W20" s="125"/>
      <c r="X20" s="125"/>
      <c r="Y20" s="125"/>
      <c r="Z20" s="125"/>
      <c r="AA20" s="125"/>
      <c r="AB20" s="125"/>
      <c r="AC20" s="125"/>
      <c r="AD20" s="126"/>
    </row>
    <row r="21" spans="1:30" ht="15" customHeight="1" x14ac:dyDescent="0.25">
      <c r="A21" s="147" t="s">
        <v>205</v>
      </c>
      <c r="B21" s="120" t="s">
        <v>192</v>
      </c>
      <c r="C21" s="120"/>
      <c r="D21" s="120"/>
      <c r="E21" s="120"/>
      <c r="F21" s="121"/>
      <c r="G21" s="158" t="s">
        <v>216</v>
      </c>
      <c r="H21" s="158"/>
      <c r="I21" s="158"/>
      <c r="J21" s="158"/>
      <c r="K21" s="158"/>
      <c r="L21" s="158"/>
      <c r="M21" s="158"/>
      <c r="N21" s="158"/>
      <c r="O21" s="158"/>
      <c r="P21" s="158"/>
      <c r="Q21" s="158"/>
      <c r="R21" s="158"/>
      <c r="S21" s="158"/>
      <c r="T21" s="158"/>
      <c r="U21" s="158"/>
      <c r="V21" s="158"/>
      <c r="W21" s="158"/>
      <c r="X21" s="158"/>
      <c r="Y21" s="158"/>
      <c r="Z21" s="158"/>
      <c r="AA21" s="158"/>
      <c r="AB21" s="158"/>
      <c r="AC21" s="158"/>
      <c r="AD21" s="159"/>
    </row>
    <row r="22" spans="1:30" ht="15" customHeight="1" x14ac:dyDescent="0.25">
      <c r="A22" s="148"/>
      <c r="B22" s="120" t="s">
        <v>193</v>
      </c>
      <c r="C22" s="120"/>
      <c r="D22" s="120"/>
      <c r="E22" s="120"/>
      <c r="F22" s="121"/>
      <c r="G22" s="158" t="s">
        <v>217</v>
      </c>
      <c r="H22" s="158"/>
      <c r="I22" s="158"/>
      <c r="J22" s="158"/>
      <c r="K22" s="158"/>
      <c r="L22" s="158"/>
      <c r="M22" s="158"/>
      <c r="N22" s="158"/>
      <c r="O22" s="158"/>
      <c r="P22" s="158"/>
      <c r="Q22" s="158"/>
      <c r="R22" s="158"/>
      <c r="S22" s="158"/>
      <c r="T22" s="158"/>
      <c r="U22" s="158"/>
      <c r="V22" s="158"/>
      <c r="W22" s="158"/>
      <c r="X22" s="158"/>
      <c r="Y22" s="158"/>
      <c r="Z22" s="158"/>
      <c r="AA22" s="158"/>
      <c r="AB22" s="158"/>
      <c r="AC22" s="158"/>
      <c r="AD22" s="159"/>
    </row>
    <row r="23" spans="1:30" ht="15" customHeight="1" x14ac:dyDescent="0.25">
      <c r="A23" s="149"/>
      <c r="B23" s="120" t="s">
        <v>204</v>
      </c>
      <c r="C23" s="120"/>
      <c r="D23" s="120"/>
      <c r="E23" s="120"/>
      <c r="F23" s="121"/>
      <c r="G23" s="158">
        <v>5</v>
      </c>
      <c r="H23" s="158"/>
      <c r="I23" s="158"/>
      <c r="J23" s="158"/>
      <c r="K23" s="158"/>
      <c r="L23" s="158"/>
      <c r="M23" s="158"/>
      <c r="N23" s="158"/>
      <c r="O23" s="158"/>
      <c r="P23" s="158"/>
      <c r="Q23" s="158"/>
      <c r="R23" s="158"/>
      <c r="S23" s="158"/>
      <c r="T23" s="158"/>
      <c r="U23" s="158"/>
      <c r="V23" s="158"/>
      <c r="W23" s="158"/>
      <c r="X23" s="158"/>
      <c r="Y23" s="158"/>
      <c r="Z23" s="158"/>
      <c r="AA23" s="158"/>
      <c r="AB23" s="158"/>
      <c r="AC23" s="158"/>
      <c r="AD23" s="159"/>
    </row>
    <row r="24" spans="1:30" ht="15" customHeight="1" x14ac:dyDescent="0.25">
      <c r="A24" s="160" t="s">
        <v>206</v>
      </c>
      <c r="B24" s="161"/>
      <c r="C24" s="161"/>
      <c r="D24" s="161"/>
      <c r="E24" s="161"/>
      <c r="F24" s="162"/>
      <c r="G24" s="112" t="s">
        <v>187</v>
      </c>
      <c r="H24" s="112"/>
      <c r="I24" s="112"/>
      <c r="J24" s="112"/>
      <c r="K24" s="112"/>
      <c r="L24" s="112"/>
      <c r="M24" s="112"/>
      <c r="N24" s="112"/>
      <c r="O24" s="112"/>
      <c r="P24" s="112"/>
      <c r="Q24" s="112"/>
      <c r="R24" s="112"/>
      <c r="S24" s="112"/>
      <c r="T24" s="112"/>
      <c r="U24" s="112"/>
      <c r="V24" s="112"/>
      <c r="W24" s="112"/>
      <c r="X24" s="112"/>
      <c r="Y24" s="112"/>
      <c r="Z24" s="112"/>
      <c r="AA24" s="112"/>
      <c r="AB24" s="112"/>
      <c r="AC24" s="112"/>
      <c r="AD24" s="113"/>
    </row>
    <row r="25" spans="1:30" ht="15" customHeight="1" x14ac:dyDescent="0.25">
      <c r="A25" s="122" t="s">
        <v>215</v>
      </c>
      <c r="B25" s="123"/>
      <c r="C25" s="123"/>
      <c r="D25" s="123"/>
      <c r="E25" s="123"/>
      <c r="F25" s="124"/>
      <c r="G25" s="112" t="s">
        <v>218</v>
      </c>
      <c r="H25" s="112"/>
      <c r="I25" s="112"/>
      <c r="J25" s="112"/>
      <c r="K25" s="112"/>
      <c r="L25" s="112"/>
      <c r="M25" s="112"/>
      <c r="N25" s="112"/>
      <c r="O25" s="112"/>
      <c r="P25" s="112"/>
      <c r="Q25" s="112"/>
      <c r="R25" s="112"/>
      <c r="S25" s="112"/>
      <c r="T25" s="112"/>
      <c r="U25" s="112"/>
      <c r="V25" s="112"/>
      <c r="W25" s="112"/>
      <c r="X25" s="112"/>
      <c r="Y25" s="112"/>
      <c r="Z25" s="112"/>
      <c r="AA25" s="112"/>
      <c r="AB25" s="112"/>
      <c r="AC25" s="112"/>
      <c r="AD25" s="113"/>
    </row>
    <row r="26" spans="1:30" ht="15" customHeight="1" x14ac:dyDescent="0.25">
      <c r="A26" s="119" t="s">
        <v>200</v>
      </c>
      <c r="B26" s="120"/>
      <c r="C26" s="120"/>
      <c r="D26" s="120"/>
      <c r="E26" s="120"/>
      <c r="F26" s="121"/>
      <c r="G26" s="125" t="s">
        <v>219</v>
      </c>
      <c r="H26" s="125"/>
      <c r="I26" s="125"/>
      <c r="J26" s="125"/>
      <c r="K26" s="125"/>
      <c r="L26" s="125"/>
      <c r="M26" s="125"/>
      <c r="N26" s="125"/>
      <c r="O26" s="125"/>
      <c r="P26" s="125"/>
      <c r="Q26" s="125"/>
      <c r="R26" s="125"/>
      <c r="S26" s="125"/>
      <c r="T26" s="125"/>
      <c r="U26" s="125"/>
      <c r="V26" s="125"/>
      <c r="W26" s="125"/>
      <c r="X26" s="125"/>
      <c r="Y26" s="125"/>
      <c r="Z26" s="125"/>
      <c r="AA26" s="125"/>
      <c r="AB26" s="125"/>
      <c r="AC26" s="125"/>
      <c r="AD26" s="126"/>
    </row>
    <row r="27" spans="1:30" ht="192" customHeight="1" x14ac:dyDescent="0.25">
      <c r="A27" s="116" t="s">
        <v>182</v>
      </c>
      <c r="B27" s="117"/>
      <c r="C27" s="117"/>
      <c r="D27" s="117"/>
      <c r="E27" s="117"/>
      <c r="F27" s="118"/>
      <c r="G27" s="127" t="s">
        <v>201</v>
      </c>
      <c r="H27" s="128"/>
      <c r="I27" s="128"/>
      <c r="J27" s="128"/>
      <c r="K27" s="128"/>
      <c r="L27" s="128"/>
      <c r="M27" s="128"/>
      <c r="N27" s="128"/>
      <c r="O27" s="128"/>
      <c r="P27" s="128"/>
      <c r="Q27" s="128"/>
      <c r="R27" s="128"/>
      <c r="S27" s="128"/>
      <c r="T27" s="128"/>
      <c r="U27" s="128"/>
      <c r="V27" s="128"/>
      <c r="W27" s="128"/>
      <c r="X27" s="128"/>
      <c r="Y27" s="128"/>
      <c r="Z27" s="128"/>
      <c r="AA27" s="128"/>
      <c r="AB27" s="128"/>
      <c r="AC27" s="128"/>
      <c r="AD27" s="129"/>
    </row>
    <row r="28" spans="1:30" ht="1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row>
    <row r="29" spans="1:30" ht="381" customHeight="1" x14ac:dyDescent="0.25">
      <c r="A29" s="114" t="s">
        <v>183</v>
      </c>
      <c r="B29" s="114"/>
      <c r="C29" s="114"/>
      <c r="D29" s="114"/>
      <c r="E29" s="114"/>
      <c r="F29" s="114"/>
      <c r="G29" s="115" t="s">
        <v>234</v>
      </c>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row>
    <row r="30" spans="1:30" ht="15" customHeight="1" x14ac:dyDescent="0.25">
      <c r="A30" s="14"/>
      <c r="B30" s="14"/>
      <c r="C30" s="14"/>
      <c r="D30" s="14"/>
      <c r="E30" s="14"/>
      <c r="F30" s="14"/>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spans="1:30" ht="131.25" customHeight="1" x14ac:dyDescent="0.25">
      <c r="A31" s="114" t="s">
        <v>202</v>
      </c>
      <c r="B31" s="114"/>
      <c r="C31" s="114"/>
      <c r="D31" s="114"/>
      <c r="E31" s="114"/>
      <c r="F31" s="114"/>
      <c r="G31" s="115" t="s">
        <v>220</v>
      </c>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row>
  </sheetData>
  <mergeCells count="56">
    <mergeCell ref="G21:AD21"/>
    <mergeCell ref="G22:AD22"/>
    <mergeCell ref="G23:AD23"/>
    <mergeCell ref="A1:AD1"/>
    <mergeCell ref="A29:F29"/>
    <mergeCell ref="G29:AD29"/>
    <mergeCell ref="A12:AD12"/>
    <mergeCell ref="B14:F14"/>
    <mergeCell ref="B16:F16"/>
    <mergeCell ref="A14:A16"/>
    <mergeCell ref="B15:F15"/>
    <mergeCell ref="G15:AD15"/>
    <mergeCell ref="B17:F17"/>
    <mergeCell ref="B18:F18"/>
    <mergeCell ref="B20:F20"/>
    <mergeCell ref="B19:F19"/>
    <mergeCell ref="A21:A23"/>
    <mergeCell ref="B21:F21"/>
    <mergeCell ref="B22:F22"/>
    <mergeCell ref="B23:F23"/>
    <mergeCell ref="A24:F24"/>
    <mergeCell ref="A17:A20"/>
    <mergeCell ref="A10:F10"/>
    <mergeCell ref="G10:AD10"/>
    <mergeCell ref="A13:F13"/>
    <mergeCell ref="G13:AD13"/>
    <mergeCell ref="G18:AD18"/>
    <mergeCell ref="G20:AD20"/>
    <mergeCell ref="G19:AD19"/>
    <mergeCell ref="G14:AD14"/>
    <mergeCell ref="G16:AD16"/>
    <mergeCell ref="G17:AD17"/>
    <mergeCell ref="G8:AD8"/>
    <mergeCell ref="A9:F9"/>
    <mergeCell ref="G9:AD9"/>
    <mergeCell ref="A2:L2"/>
    <mergeCell ref="A3:F3"/>
    <mergeCell ref="G3:AD3"/>
    <mergeCell ref="A5:F5"/>
    <mergeCell ref="G5:AD5"/>
    <mergeCell ref="A4:F4"/>
    <mergeCell ref="G4:AD4"/>
    <mergeCell ref="A6:F6"/>
    <mergeCell ref="G6:AD6"/>
    <mergeCell ref="A7:F7"/>
    <mergeCell ref="G7:AD7"/>
    <mergeCell ref="A8:F8"/>
    <mergeCell ref="G24:AD24"/>
    <mergeCell ref="G25:AD25"/>
    <mergeCell ref="A31:F31"/>
    <mergeCell ref="G31:AD31"/>
    <mergeCell ref="A27:F27"/>
    <mergeCell ref="A26:F26"/>
    <mergeCell ref="A25:F25"/>
    <mergeCell ref="G26:AD26"/>
    <mergeCell ref="G27:AD27"/>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7"/>
  <sheetViews>
    <sheetView showGridLines="0" workbookViewId="0">
      <selection activeCell="A21" sqref="A21:F24"/>
    </sheetView>
  </sheetViews>
  <sheetFormatPr defaultColWidth="3" defaultRowHeight="15" x14ac:dyDescent="0.25"/>
  <sheetData>
    <row r="1" spans="1:30" ht="30" customHeight="1" x14ac:dyDescent="0.25">
      <c r="A1" s="163" t="str">
        <f xml:space="preserve"> "ACTIVITY " &amp; 'Activity Info'!G4 &amp; " — QUESTION 2"</f>
        <v>ACTIVITY CB-002 — QUESTION 2</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row>
    <row r="2" spans="1:30" ht="15" customHeight="1" x14ac:dyDescent="0.25">
      <c r="A2" s="134"/>
      <c r="B2" s="134"/>
      <c r="C2" s="134"/>
      <c r="D2" s="134"/>
      <c r="E2" s="134"/>
      <c r="F2" s="134"/>
      <c r="G2" s="134"/>
      <c r="H2" s="134"/>
      <c r="I2" s="134"/>
      <c r="J2" s="134"/>
      <c r="K2" s="134"/>
      <c r="L2" s="134"/>
    </row>
    <row r="3" spans="1:30" ht="15" customHeight="1" x14ac:dyDescent="0.25">
      <c r="A3" s="135" t="s">
        <v>156</v>
      </c>
      <c r="B3" s="136"/>
      <c r="C3" s="136"/>
      <c r="D3" s="136"/>
      <c r="E3" s="136"/>
      <c r="F3" s="137"/>
      <c r="G3" s="138"/>
      <c r="H3" s="138"/>
      <c r="I3" s="138"/>
      <c r="J3" s="138"/>
      <c r="K3" s="138"/>
      <c r="L3" s="138"/>
      <c r="M3" s="138"/>
      <c r="N3" s="138"/>
      <c r="O3" s="138"/>
      <c r="P3" s="138"/>
      <c r="Q3" s="138"/>
      <c r="R3" s="138"/>
      <c r="S3" s="138"/>
      <c r="T3" s="138"/>
      <c r="U3" s="138"/>
      <c r="V3" s="138"/>
      <c r="W3" s="138"/>
      <c r="X3" s="138"/>
      <c r="Y3" s="138"/>
      <c r="Z3" s="138"/>
      <c r="AA3" s="138"/>
      <c r="AB3" s="138"/>
      <c r="AC3" s="138"/>
      <c r="AD3" s="139"/>
    </row>
    <row r="4" spans="1:30" ht="52.5" customHeight="1" x14ac:dyDescent="0.25">
      <c r="A4" s="119" t="s">
        <v>179</v>
      </c>
      <c r="B4" s="120"/>
      <c r="C4" s="120"/>
      <c r="D4" s="120"/>
      <c r="E4" s="120"/>
      <c r="F4" s="121"/>
      <c r="G4" s="142" t="str">
        <f>IF('Activity Info'!D37&lt;&gt;"",VLOOKUP('Activity Info'!D37,'Activity Info'!A28:G32,7),"")</f>
        <v/>
      </c>
      <c r="H4" s="142"/>
      <c r="I4" s="142"/>
      <c r="J4" s="142"/>
      <c r="K4" s="142"/>
      <c r="L4" s="142"/>
      <c r="M4" s="142"/>
      <c r="N4" s="142"/>
      <c r="O4" s="142"/>
      <c r="P4" s="142"/>
      <c r="Q4" s="142"/>
      <c r="R4" s="142"/>
      <c r="S4" s="142"/>
      <c r="T4" s="142"/>
      <c r="U4" s="142"/>
      <c r="V4" s="142"/>
      <c r="W4" s="142"/>
      <c r="X4" s="142"/>
      <c r="Y4" s="142"/>
      <c r="Z4" s="142"/>
      <c r="AA4" s="142"/>
      <c r="AB4" s="142"/>
      <c r="AC4" s="142"/>
      <c r="AD4" s="143"/>
    </row>
    <row r="5" spans="1:30" ht="15" customHeight="1" x14ac:dyDescent="0.25">
      <c r="A5" s="122" t="s">
        <v>2</v>
      </c>
      <c r="B5" s="123"/>
      <c r="C5" s="123"/>
      <c r="D5" s="123"/>
      <c r="E5" s="123"/>
      <c r="F5" s="124"/>
      <c r="G5" s="140" t="str">
        <f>IF('Activity Info'!H37&lt;&gt;"",'Activity Info'!H37,"")</f>
        <v/>
      </c>
      <c r="H5" s="140"/>
      <c r="I5" s="140"/>
      <c r="J5" s="140"/>
      <c r="K5" s="140"/>
      <c r="L5" s="140"/>
      <c r="M5" s="140"/>
      <c r="N5" s="140"/>
      <c r="O5" s="140"/>
      <c r="P5" s="140"/>
      <c r="Q5" s="140"/>
      <c r="R5" s="140"/>
      <c r="S5" s="140"/>
      <c r="T5" s="140"/>
      <c r="U5" s="140"/>
      <c r="V5" s="140"/>
      <c r="W5" s="140"/>
      <c r="X5" s="140"/>
      <c r="Y5" s="140"/>
      <c r="Z5" s="140"/>
      <c r="AA5" s="140"/>
      <c r="AB5" s="140"/>
      <c r="AC5" s="140"/>
      <c r="AD5" s="141"/>
    </row>
    <row r="6" spans="1:30" ht="15" customHeight="1" x14ac:dyDescent="0.25">
      <c r="A6" s="122" t="s">
        <v>4</v>
      </c>
      <c r="B6" s="123"/>
      <c r="C6" s="123"/>
      <c r="D6" s="123"/>
      <c r="E6" s="123"/>
      <c r="F6" s="124"/>
      <c r="G6" s="140" t="str">
        <f>IF('Activity Info'!N37&lt;&gt;"",'Activity Info'!N37,"")</f>
        <v/>
      </c>
      <c r="H6" s="140"/>
      <c r="I6" s="140"/>
      <c r="J6" s="140"/>
      <c r="K6" s="140"/>
      <c r="L6" s="140"/>
      <c r="M6" s="140"/>
      <c r="N6" s="140"/>
      <c r="O6" s="140"/>
      <c r="P6" s="140"/>
      <c r="Q6" s="140"/>
      <c r="R6" s="140"/>
      <c r="S6" s="140"/>
      <c r="T6" s="140"/>
      <c r="U6" s="140"/>
      <c r="V6" s="140"/>
      <c r="W6" s="140"/>
      <c r="X6" s="140"/>
      <c r="Y6" s="140"/>
      <c r="Z6" s="140"/>
      <c r="AA6" s="140"/>
      <c r="AB6" s="140"/>
      <c r="AC6" s="140"/>
      <c r="AD6" s="141"/>
    </row>
    <row r="7" spans="1:30" ht="15" customHeight="1" x14ac:dyDescent="0.25">
      <c r="A7" s="122" t="s">
        <v>6</v>
      </c>
      <c r="B7" s="123"/>
      <c r="C7" s="123"/>
      <c r="D7" s="123"/>
      <c r="E7" s="123"/>
      <c r="F7" s="124"/>
      <c r="G7" s="140" t="str">
        <f>IF('Activity Info'!T37&lt;&gt;"",'Activity Info'!T37,"")</f>
        <v/>
      </c>
      <c r="H7" s="140"/>
      <c r="I7" s="140"/>
      <c r="J7" s="140"/>
      <c r="K7" s="140"/>
      <c r="L7" s="140"/>
      <c r="M7" s="140"/>
      <c r="N7" s="140"/>
      <c r="O7" s="140"/>
      <c r="P7" s="140"/>
      <c r="Q7" s="140"/>
      <c r="R7" s="140"/>
      <c r="S7" s="140"/>
      <c r="T7" s="140"/>
      <c r="U7" s="140"/>
      <c r="V7" s="140"/>
      <c r="W7" s="140"/>
      <c r="X7" s="140"/>
      <c r="Y7" s="140"/>
      <c r="Z7" s="140"/>
      <c r="AA7" s="140"/>
      <c r="AB7" s="140"/>
      <c r="AC7" s="140"/>
      <c r="AD7" s="141"/>
    </row>
    <row r="8" spans="1:30" ht="15" customHeight="1" x14ac:dyDescent="0.25">
      <c r="A8" s="144" t="s">
        <v>168</v>
      </c>
      <c r="B8" s="145"/>
      <c r="C8" s="145"/>
      <c r="D8" s="145"/>
      <c r="E8" s="145"/>
      <c r="F8" s="146"/>
      <c r="G8" s="130" t="str">
        <f>IF('Activity Info'!Z37&lt;&gt;"",'Activity Info'!Z37,"")</f>
        <v/>
      </c>
      <c r="H8" s="130"/>
      <c r="I8" s="130"/>
      <c r="J8" s="130"/>
      <c r="K8" s="130"/>
      <c r="L8" s="130"/>
      <c r="M8" s="130"/>
      <c r="N8" s="130"/>
      <c r="O8" s="130"/>
      <c r="P8" s="130"/>
      <c r="Q8" s="130"/>
      <c r="R8" s="130"/>
      <c r="S8" s="130"/>
      <c r="T8" s="130"/>
      <c r="U8" s="130"/>
      <c r="V8" s="130"/>
      <c r="W8" s="130"/>
      <c r="X8" s="130"/>
      <c r="Y8" s="130"/>
      <c r="Z8" s="130"/>
      <c r="AA8" s="130"/>
      <c r="AB8" s="130"/>
      <c r="AC8" s="130"/>
      <c r="AD8" s="131"/>
    </row>
    <row r="9" spans="1:30" ht="15" customHeight="1" x14ac:dyDescent="0.25">
      <c r="A9" s="132"/>
      <c r="B9" s="132"/>
      <c r="C9" s="132"/>
      <c r="D9" s="132"/>
      <c r="E9" s="132"/>
      <c r="F9" s="132"/>
      <c r="G9" s="133"/>
      <c r="H9" s="133"/>
      <c r="I9" s="133"/>
      <c r="J9" s="133"/>
      <c r="K9" s="133"/>
      <c r="L9" s="133"/>
      <c r="M9" s="133"/>
      <c r="N9" s="133"/>
      <c r="O9" s="133"/>
      <c r="P9" s="133"/>
      <c r="Q9" s="133"/>
      <c r="R9" s="133"/>
      <c r="S9" s="133"/>
      <c r="T9" s="133"/>
      <c r="U9" s="133"/>
      <c r="V9" s="133"/>
      <c r="W9" s="133"/>
      <c r="X9" s="133"/>
      <c r="Y9" s="133"/>
      <c r="Z9" s="133"/>
      <c r="AA9" s="133"/>
      <c r="AB9" s="133"/>
      <c r="AC9" s="133"/>
      <c r="AD9" s="133"/>
    </row>
    <row r="10" spans="1:30" ht="97.5" customHeight="1" x14ac:dyDescent="0.25">
      <c r="A10" s="114" t="s">
        <v>180</v>
      </c>
      <c r="B10" s="114"/>
      <c r="C10" s="114"/>
      <c r="D10" s="114"/>
      <c r="E10" s="114"/>
      <c r="F10" s="114"/>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row>
    <row r="11" spans="1:30" ht="15" customHeight="1" x14ac:dyDescent="0.25">
      <c r="A11" s="12"/>
      <c r="B11" s="12"/>
      <c r="C11" s="12"/>
      <c r="D11" s="12"/>
      <c r="E11" s="12"/>
      <c r="F11" s="12"/>
      <c r="G11" s="12"/>
      <c r="H11" s="12"/>
      <c r="I11" s="12"/>
      <c r="J11" s="12"/>
      <c r="K11" s="12"/>
      <c r="L11" s="12"/>
    </row>
    <row r="12" spans="1:30" ht="15" customHeight="1" x14ac:dyDescent="0.25">
      <c r="A12" s="164" t="s">
        <v>184</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6"/>
    </row>
    <row r="13" spans="1:30" ht="15" customHeight="1" x14ac:dyDescent="0.25">
      <c r="A13" s="150" t="s">
        <v>181</v>
      </c>
      <c r="B13" s="151"/>
      <c r="C13" s="151"/>
      <c r="D13" s="151"/>
      <c r="E13" s="151"/>
      <c r="F13" s="152"/>
      <c r="G13" s="153"/>
      <c r="H13" s="153"/>
      <c r="I13" s="153"/>
      <c r="J13" s="153"/>
      <c r="K13" s="153"/>
      <c r="L13" s="153"/>
      <c r="M13" s="153"/>
      <c r="N13" s="153"/>
      <c r="O13" s="153"/>
      <c r="P13" s="153"/>
      <c r="Q13" s="153"/>
      <c r="R13" s="153"/>
      <c r="S13" s="153"/>
      <c r="T13" s="153"/>
      <c r="U13" s="153"/>
      <c r="V13" s="153"/>
      <c r="W13" s="153"/>
      <c r="X13" s="153"/>
      <c r="Y13" s="153"/>
      <c r="Z13" s="153"/>
      <c r="AA13" s="153"/>
      <c r="AB13" s="153"/>
      <c r="AC13" s="153"/>
      <c r="AD13" s="154"/>
    </row>
    <row r="14" spans="1:30" ht="15" customHeight="1" x14ac:dyDescent="0.25">
      <c r="A14" s="171" t="s">
        <v>186</v>
      </c>
      <c r="B14" s="167" t="s">
        <v>190</v>
      </c>
      <c r="C14" s="167"/>
      <c r="D14" s="167"/>
      <c r="E14" s="167"/>
      <c r="F14" s="168"/>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3"/>
    </row>
    <row r="15" spans="1:30" ht="15" customHeight="1" x14ac:dyDescent="0.25">
      <c r="A15" s="172"/>
      <c r="B15" s="174" t="s">
        <v>189</v>
      </c>
      <c r="C15" s="174"/>
      <c r="D15" s="174"/>
      <c r="E15" s="174"/>
      <c r="F15" s="175"/>
      <c r="G15" s="176"/>
      <c r="H15" s="176"/>
      <c r="I15" s="176"/>
      <c r="J15" s="176"/>
      <c r="K15" s="176"/>
      <c r="L15" s="176"/>
      <c r="M15" s="176"/>
      <c r="N15" s="176"/>
      <c r="O15" s="176"/>
      <c r="P15" s="176"/>
      <c r="Q15" s="176"/>
      <c r="R15" s="176"/>
      <c r="S15" s="176"/>
      <c r="T15" s="176"/>
      <c r="U15" s="176"/>
      <c r="V15" s="176"/>
      <c r="W15" s="176"/>
      <c r="X15" s="176"/>
      <c r="Y15" s="176"/>
      <c r="Z15" s="176"/>
      <c r="AA15" s="176"/>
      <c r="AB15" s="176"/>
      <c r="AC15" s="176"/>
      <c r="AD15" s="177"/>
    </row>
    <row r="16" spans="1:30" ht="30" customHeight="1" x14ac:dyDescent="0.25">
      <c r="A16" s="173"/>
      <c r="B16" s="169" t="s">
        <v>185</v>
      </c>
      <c r="C16" s="169"/>
      <c r="D16" s="169"/>
      <c r="E16" s="169"/>
      <c r="F16" s="170"/>
      <c r="G16" s="156"/>
      <c r="H16" s="156"/>
      <c r="I16" s="156"/>
      <c r="J16" s="156"/>
      <c r="K16" s="156"/>
      <c r="L16" s="156"/>
      <c r="M16" s="156"/>
      <c r="N16" s="156"/>
      <c r="O16" s="156"/>
      <c r="P16" s="156"/>
      <c r="Q16" s="156"/>
      <c r="R16" s="156"/>
      <c r="S16" s="156"/>
      <c r="T16" s="156"/>
      <c r="U16" s="156"/>
      <c r="V16" s="156"/>
      <c r="W16" s="156"/>
      <c r="X16" s="156"/>
      <c r="Y16" s="156"/>
      <c r="Z16" s="156"/>
      <c r="AA16" s="156"/>
      <c r="AB16" s="156"/>
      <c r="AC16" s="156"/>
      <c r="AD16" s="157"/>
    </row>
    <row r="17" spans="1:30" ht="15" customHeight="1" x14ac:dyDescent="0.25">
      <c r="A17" s="147" t="s">
        <v>199</v>
      </c>
      <c r="B17" s="120" t="s">
        <v>192</v>
      </c>
      <c r="C17" s="120"/>
      <c r="D17" s="120"/>
      <c r="E17" s="120"/>
      <c r="F17" s="121"/>
      <c r="G17" s="158"/>
      <c r="H17" s="158"/>
      <c r="I17" s="158"/>
      <c r="J17" s="158"/>
      <c r="K17" s="158"/>
      <c r="L17" s="158"/>
      <c r="M17" s="158"/>
      <c r="N17" s="158"/>
      <c r="O17" s="158"/>
      <c r="P17" s="158"/>
      <c r="Q17" s="158"/>
      <c r="R17" s="158"/>
      <c r="S17" s="158"/>
      <c r="T17" s="158"/>
      <c r="U17" s="158"/>
      <c r="V17" s="158"/>
      <c r="W17" s="158"/>
      <c r="X17" s="158"/>
      <c r="Y17" s="158"/>
      <c r="Z17" s="158"/>
      <c r="AA17" s="158"/>
      <c r="AB17" s="158"/>
      <c r="AC17" s="158"/>
      <c r="AD17" s="159"/>
    </row>
    <row r="18" spans="1:30" ht="15" customHeight="1" x14ac:dyDescent="0.25">
      <c r="A18" s="148"/>
      <c r="B18" s="120" t="s">
        <v>193</v>
      </c>
      <c r="C18" s="120"/>
      <c r="D18" s="120"/>
      <c r="E18" s="120"/>
      <c r="F18" s="121"/>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3"/>
    </row>
    <row r="19" spans="1:30" ht="15" customHeight="1" x14ac:dyDescent="0.25">
      <c r="A19" s="148"/>
      <c r="B19" s="120" t="s">
        <v>197</v>
      </c>
      <c r="C19" s="120"/>
      <c r="D19" s="120"/>
      <c r="E19" s="120"/>
      <c r="F19" s="121"/>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3"/>
    </row>
    <row r="20" spans="1:30" ht="30" customHeight="1" x14ac:dyDescent="0.25">
      <c r="A20" s="149"/>
      <c r="B20" s="120" t="s">
        <v>194</v>
      </c>
      <c r="C20" s="120"/>
      <c r="D20" s="120"/>
      <c r="E20" s="120"/>
      <c r="F20" s="121"/>
      <c r="G20" s="15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6"/>
    </row>
    <row r="21" spans="1:30" ht="15" customHeight="1" x14ac:dyDescent="0.25">
      <c r="A21" s="147" t="s">
        <v>205</v>
      </c>
      <c r="B21" s="120" t="s">
        <v>192</v>
      </c>
      <c r="C21" s="120"/>
      <c r="D21" s="120"/>
      <c r="E21" s="120"/>
      <c r="F21" s="121"/>
      <c r="G21" s="158"/>
      <c r="H21" s="158"/>
      <c r="I21" s="158"/>
      <c r="J21" s="158"/>
      <c r="K21" s="158"/>
      <c r="L21" s="158"/>
      <c r="M21" s="158"/>
      <c r="N21" s="158"/>
      <c r="O21" s="158"/>
      <c r="P21" s="158"/>
      <c r="Q21" s="158"/>
      <c r="R21" s="158"/>
      <c r="S21" s="158"/>
      <c r="T21" s="158"/>
      <c r="U21" s="158"/>
      <c r="V21" s="158"/>
      <c r="W21" s="158"/>
      <c r="X21" s="158"/>
      <c r="Y21" s="158"/>
      <c r="Z21" s="158"/>
      <c r="AA21" s="158"/>
      <c r="AB21" s="158"/>
      <c r="AC21" s="158"/>
      <c r="AD21" s="159"/>
    </row>
    <row r="22" spans="1:30" ht="15" customHeight="1" x14ac:dyDescent="0.25">
      <c r="A22" s="148"/>
      <c r="B22" s="120" t="s">
        <v>193</v>
      </c>
      <c r="C22" s="120"/>
      <c r="D22" s="120"/>
      <c r="E22" s="120"/>
      <c r="F22" s="121"/>
      <c r="G22" s="158"/>
      <c r="H22" s="158"/>
      <c r="I22" s="158"/>
      <c r="J22" s="158"/>
      <c r="K22" s="158"/>
      <c r="L22" s="158"/>
      <c r="M22" s="158"/>
      <c r="N22" s="158"/>
      <c r="O22" s="158"/>
      <c r="P22" s="158"/>
      <c r="Q22" s="158"/>
      <c r="R22" s="158"/>
      <c r="S22" s="158"/>
      <c r="T22" s="158"/>
      <c r="U22" s="158"/>
      <c r="V22" s="158"/>
      <c r="W22" s="158"/>
      <c r="X22" s="158"/>
      <c r="Y22" s="158"/>
      <c r="Z22" s="158"/>
      <c r="AA22" s="158"/>
      <c r="AB22" s="158"/>
      <c r="AC22" s="158"/>
      <c r="AD22" s="159"/>
    </row>
    <row r="23" spans="1:30" ht="15" customHeight="1" x14ac:dyDescent="0.25">
      <c r="A23" s="148"/>
      <c r="B23" s="120" t="s">
        <v>204</v>
      </c>
      <c r="C23" s="120"/>
      <c r="D23" s="120"/>
      <c r="E23" s="120"/>
      <c r="F23" s="121"/>
      <c r="G23" s="158"/>
      <c r="H23" s="158"/>
      <c r="I23" s="158"/>
      <c r="J23" s="158"/>
      <c r="K23" s="158"/>
      <c r="L23" s="158"/>
      <c r="M23" s="158"/>
      <c r="N23" s="158"/>
      <c r="O23" s="158"/>
      <c r="P23" s="158"/>
      <c r="Q23" s="158"/>
      <c r="R23" s="158"/>
      <c r="S23" s="158"/>
      <c r="T23" s="158"/>
      <c r="U23" s="158"/>
      <c r="V23" s="158"/>
      <c r="W23" s="158"/>
      <c r="X23" s="158"/>
      <c r="Y23" s="158"/>
      <c r="Z23" s="158"/>
      <c r="AA23" s="158"/>
      <c r="AB23" s="158"/>
      <c r="AC23" s="158"/>
      <c r="AD23" s="159"/>
    </row>
    <row r="24" spans="1:30" ht="15" customHeight="1" x14ac:dyDescent="0.25">
      <c r="A24" s="160" t="s">
        <v>206</v>
      </c>
      <c r="B24" s="161"/>
      <c r="C24" s="161"/>
      <c r="D24" s="161"/>
      <c r="E24" s="161"/>
      <c r="F24" s="162"/>
      <c r="G24" s="16"/>
      <c r="H24" s="16"/>
      <c r="I24" s="16"/>
      <c r="J24" s="16"/>
      <c r="K24" s="16"/>
      <c r="L24" s="16"/>
      <c r="M24" s="16"/>
      <c r="N24" s="16"/>
      <c r="O24" s="16"/>
      <c r="P24" s="16"/>
      <c r="Q24" s="16"/>
      <c r="R24" s="16"/>
      <c r="S24" s="16"/>
      <c r="T24" s="16"/>
      <c r="U24" s="16"/>
      <c r="V24" s="16"/>
      <c r="W24" s="16"/>
      <c r="X24" s="16"/>
      <c r="Y24" s="16"/>
      <c r="Z24" s="16"/>
      <c r="AA24" s="16"/>
      <c r="AB24" s="16"/>
      <c r="AC24" s="16"/>
      <c r="AD24" s="17"/>
    </row>
    <row r="25" spans="1:30" ht="15" customHeight="1" x14ac:dyDescent="0.25">
      <c r="A25" s="119" t="s">
        <v>200</v>
      </c>
      <c r="B25" s="120"/>
      <c r="C25" s="120"/>
      <c r="D25" s="120"/>
      <c r="E25" s="120"/>
      <c r="F25" s="121"/>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6"/>
    </row>
    <row r="26" spans="1:30" ht="132" customHeight="1" x14ac:dyDescent="0.25">
      <c r="A26" s="116" t="s">
        <v>182</v>
      </c>
      <c r="B26" s="117"/>
      <c r="C26" s="117"/>
      <c r="D26" s="117"/>
      <c r="E26" s="117"/>
      <c r="F26" s="118"/>
      <c r="G26" s="127" t="s">
        <v>201</v>
      </c>
      <c r="H26" s="128"/>
      <c r="I26" s="128"/>
      <c r="J26" s="128"/>
      <c r="K26" s="128"/>
      <c r="L26" s="128"/>
      <c r="M26" s="128"/>
      <c r="N26" s="128"/>
      <c r="O26" s="128"/>
      <c r="P26" s="128"/>
      <c r="Q26" s="128"/>
      <c r="R26" s="128"/>
      <c r="S26" s="128"/>
      <c r="T26" s="128"/>
      <c r="U26" s="128"/>
      <c r="V26" s="128"/>
      <c r="W26" s="128"/>
      <c r="X26" s="128"/>
      <c r="Y26" s="128"/>
      <c r="Z26" s="128"/>
      <c r="AA26" s="128"/>
      <c r="AB26" s="128"/>
      <c r="AC26" s="128"/>
      <c r="AD26" s="129"/>
    </row>
    <row r="27" spans="1:30" ht="15" customHeight="1"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spans="1:30" ht="204" customHeight="1" x14ac:dyDescent="0.25">
      <c r="A28" s="114" t="s">
        <v>183</v>
      </c>
      <c r="B28" s="114"/>
      <c r="C28" s="114"/>
      <c r="D28" s="114"/>
      <c r="E28" s="114"/>
      <c r="F28" s="114"/>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row>
    <row r="29" spans="1:30" ht="15" customHeight="1" x14ac:dyDescent="0.25">
      <c r="A29" s="14"/>
      <c r="B29" s="14"/>
      <c r="C29" s="14"/>
      <c r="D29" s="14"/>
      <c r="E29" s="14"/>
      <c r="F29" s="14"/>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ht="131.25" customHeight="1" x14ac:dyDescent="0.25">
      <c r="A30" s="114" t="s">
        <v>202</v>
      </c>
      <c r="B30" s="114"/>
      <c r="C30" s="114"/>
      <c r="D30" s="114"/>
      <c r="E30" s="114"/>
      <c r="F30" s="114"/>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row>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53">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30:F30"/>
    <mergeCell ref="G30:AD30"/>
    <mergeCell ref="A21:A23"/>
    <mergeCell ref="B21:F21"/>
    <mergeCell ref="B22:F22"/>
    <mergeCell ref="B23:F23"/>
    <mergeCell ref="G21:AD21"/>
    <mergeCell ref="G22:AD22"/>
    <mergeCell ref="G23:AD23"/>
    <mergeCell ref="A25:F25"/>
    <mergeCell ref="G25:AD25"/>
    <mergeCell ref="A26:F26"/>
    <mergeCell ref="G26:AD26"/>
    <mergeCell ref="A28:F28"/>
    <mergeCell ref="G28:AD28"/>
    <mergeCell ref="A24:F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3"/>
  <sheetViews>
    <sheetView showGridLines="0" workbookViewId="0">
      <selection sqref="A1:AD1"/>
    </sheetView>
  </sheetViews>
  <sheetFormatPr defaultColWidth="3" defaultRowHeight="15" x14ac:dyDescent="0.25"/>
  <sheetData>
    <row r="1" spans="1:30" ht="30" customHeight="1" x14ac:dyDescent="0.25">
      <c r="A1" s="163" t="str">
        <f xml:space="preserve"> "ACTIVITY " &amp; 'Activity Info'!G4 &amp; " — QUESTION 3"</f>
        <v>ACTIVITY CB-002 — QUESTION 3</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row>
    <row r="2" spans="1:30" ht="15" customHeight="1" x14ac:dyDescent="0.25">
      <c r="A2" s="134"/>
      <c r="B2" s="134"/>
      <c r="C2" s="134"/>
      <c r="D2" s="134"/>
      <c r="E2" s="134"/>
      <c r="F2" s="134"/>
      <c r="G2" s="134"/>
      <c r="H2" s="134"/>
      <c r="I2" s="134"/>
      <c r="J2" s="134"/>
      <c r="K2" s="134"/>
      <c r="L2" s="134"/>
    </row>
    <row r="3" spans="1:30" ht="15" customHeight="1" x14ac:dyDescent="0.25">
      <c r="A3" s="135" t="s">
        <v>156</v>
      </c>
      <c r="B3" s="136"/>
      <c r="C3" s="136"/>
      <c r="D3" s="136"/>
      <c r="E3" s="136"/>
      <c r="F3" s="137"/>
      <c r="G3" s="138"/>
      <c r="H3" s="138"/>
      <c r="I3" s="138"/>
      <c r="J3" s="138"/>
      <c r="K3" s="138"/>
      <c r="L3" s="138"/>
      <c r="M3" s="138"/>
      <c r="N3" s="138"/>
      <c r="O3" s="138"/>
      <c r="P3" s="138"/>
      <c r="Q3" s="138"/>
      <c r="R3" s="138"/>
      <c r="S3" s="138"/>
      <c r="T3" s="138"/>
      <c r="U3" s="138"/>
      <c r="V3" s="138"/>
      <c r="W3" s="138"/>
      <c r="X3" s="138"/>
      <c r="Y3" s="138"/>
      <c r="Z3" s="138"/>
      <c r="AA3" s="138"/>
      <c r="AB3" s="138"/>
      <c r="AC3" s="138"/>
      <c r="AD3" s="139"/>
    </row>
    <row r="4" spans="1:30" ht="52.5" customHeight="1" x14ac:dyDescent="0.25">
      <c r="A4" s="119" t="s">
        <v>179</v>
      </c>
      <c r="B4" s="120"/>
      <c r="C4" s="120"/>
      <c r="D4" s="120"/>
      <c r="E4" s="120"/>
      <c r="F4" s="121"/>
      <c r="G4" s="142" t="str">
        <f>IF('Activity Info'!D38&lt;&gt;"",VLOOKUP('Activity Info'!D38,'Activity Info'!A28:G32,7),"")</f>
        <v/>
      </c>
      <c r="H4" s="142"/>
      <c r="I4" s="142"/>
      <c r="J4" s="142"/>
      <c r="K4" s="142"/>
      <c r="L4" s="142"/>
      <c r="M4" s="142"/>
      <c r="N4" s="142"/>
      <c r="O4" s="142"/>
      <c r="P4" s="142"/>
      <c r="Q4" s="142"/>
      <c r="R4" s="142"/>
      <c r="S4" s="142"/>
      <c r="T4" s="142"/>
      <c r="U4" s="142"/>
      <c r="V4" s="142"/>
      <c r="W4" s="142"/>
      <c r="X4" s="142"/>
      <c r="Y4" s="142"/>
      <c r="Z4" s="142"/>
      <c r="AA4" s="142"/>
      <c r="AB4" s="142"/>
      <c r="AC4" s="142"/>
      <c r="AD4" s="143"/>
    </row>
    <row r="5" spans="1:30" ht="15" customHeight="1" x14ac:dyDescent="0.25">
      <c r="A5" s="122" t="s">
        <v>2</v>
      </c>
      <c r="B5" s="123"/>
      <c r="C5" s="123"/>
      <c r="D5" s="123"/>
      <c r="E5" s="123"/>
      <c r="F5" s="124"/>
      <c r="G5" s="140" t="str">
        <f>IF('Activity Info'!H38&lt;&gt;"",'Activity Info'!H38,"")</f>
        <v/>
      </c>
      <c r="H5" s="140"/>
      <c r="I5" s="140"/>
      <c r="J5" s="140"/>
      <c r="K5" s="140"/>
      <c r="L5" s="140"/>
      <c r="M5" s="140"/>
      <c r="N5" s="140"/>
      <c r="O5" s="140"/>
      <c r="P5" s="140"/>
      <c r="Q5" s="140"/>
      <c r="R5" s="140"/>
      <c r="S5" s="140"/>
      <c r="T5" s="140"/>
      <c r="U5" s="140"/>
      <c r="V5" s="140"/>
      <c r="W5" s="140"/>
      <c r="X5" s="140"/>
      <c r="Y5" s="140"/>
      <c r="Z5" s="140"/>
      <c r="AA5" s="140"/>
      <c r="AB5" s="140"/>
      <c r="AC5" s="140"/>
      <c r="AD5" s="141"/>
    </row>
    <row r="6" spans="1:30" ht="15" customHeight="1" x14ac:dyDescent="0.25">
      <c r="A6" s="122" t="s">
        <v>4</v>
      </c>
      <c r="B6" s="123"/>
      <c r="C6" s="123"/>
      <c r="D6" s="123"/>
      <c r="E6" s="123"/>
      <c r="F6" s="124"/>
      <c r="G6" s="140" t="str">
        <f>IF('Activity Info'!N38&lt;&gt;"",'Activity Info'!N38,"")</f>
        <v/>
      </c>
      <c r="H6" s="140"/>
      <c r="I6" s="140"/>
      <c r="J6" s="140"/>
      <c r="K6" s="140"/>
      <c r="L6" s="140"/>
      <c r="M6" s="140"/>
      <c r="N6" s="140"/>
      <c r="O6" s="140"/>
      <c r="P6" s="140"/>
      <c r="Q6" s="140"/>
      <c r="R6" s="140"/>
      <c r="S6" s="140"/>
      <c r="T6" s="140"/>
      <c r="U6" s="140"/>
      <c r="V6" s="140"/>
      <c r="W6" s="140"/>
      <c r="X6" s="140"/>
      <c r="Y6" s="140"/>
      <c r="Z6" s="140"/>
      <c r="AA6" s="140"/>
      <c r="AB6" s="140"/>
      <c r="AC6" s="140"/>
      <c r="AD6" s="141"/>
    </row>
    <row r="7" spans="1:30" ht="15" customHeight="1" x14ac:dyDescent="0.25">
      <c r="A7" s="122" t="s">
        <v>6</v>
      </c>
      <c r="B7" s="123"/>
      <c r="C7" s="123"/>
      <c r="D7" s="123"/>
      <c r="E7" s="123"/>
      <c r="F7" s="124"/>
      <c r="G7" s="140" t="str">
        <f>IF('Activity Info'!T38&lt;&gt;"",'Activity Info'!T38,"")</f>
        <v/>
      </c>
      <c r="H7" s="140"/>
      <c r="I7" s="140"/>
      <c r="J7" s="140"/>
      <c r="K7" s="140"/>
      <c r="L7" s="140"/>
      <c r="M7" s="140"/>
      <c r="N7" s="140"/>
      <c r="O7" s="140"/>
      <c r="P7" s="140"/>
      <c r="Q7" s="140"/>
      <c r="R7" s="140"/>
      <c r="S7" s="140"/>
      <c r="T7" s="140"/>
      <c r="U7" s="140"/>
      <c r="V7" s="140"/>
      <c r="W7" s="140"/>
      <c r="X7" s="140"/>
      <c r="Y7" s="140"/>
      <c r="Z7" s="140"/>
      <c r="AA7" s="140"/>
      <c r="AB7" s="140"/>
      <c r="AC7" s="140"/>
      <c r="AD7" s="141"/>
    </row>
    <row r="8" spans="1:30" ht="15" customHeight="1" x14ac:dyDescent="0.25">
      <c r="A8" s="144" t="s">
        <v>168</v>
      </c>
      <c r="B8" s="145"/>
      <c r="C8" s="145"/>
      <c r="D8" s="145"/>
      <c r="E8" s="145"/>
      <c r="F8" s="146"/>
      <c r="G8" s="130" t="str">
        <f>IF('Activity Info'!Z38&lt;&gt;"",'Activity Info'!Z38,"")</f>
        <v/>
      </c>
      <c r="H8" s="130"/>
      <c r="I8" s="130"/>
      <c r="J8" s="130"/>
      <c r="K8" s="130"/>
      <c r="L8" s="130"/>
      <c r="M8" s="130"/>
      <c r="N8" s="130"/>
      <c r="O8" s="130"/>
      <c r="P8" s="130"/>
      <c r="Q8" s="130"/>
      <c r="R8" s="130"/>
      <c r="S8" s="130"/>
      <c r="T8" s="130"/>
      <c r="U8" s="130"/>
      <c r="V8" s="130"/>
      <c r="W8" s="130"/>
      <c r="X8" s="130"/>
      <c r="Y8" s="130"/>
      <c r="Z8" s="130"/>
      <c r="AA8" s="130"/>
      <c r="AB8" s="130"/>
      <c r="AC8" s="130"/>
      <c r="AD8" s="131"/>
    </row>
    <row r="9" spans="1:30" ht="15" customHeight="1" x14ac:dyDescent="0.25">
      <c r="A9" s="132"/>
      <c r="B9" s="132"/>
      <c r="C9" s="132"/>
      <c r="D9" s="132"/>
      <c r="E9" s="132"/>
      <c r="F9" s="132"/>
      <c r="G9" s="133"/>
      <c r="H9" s="133"/>
      <c r="I9" s="133"/>
      <c r="J9" s="133"/>
      <c r="K9" s="133"/>
      <c r="L9" s="133"/>
      <c r="M9" s="133"/>
      <c r="N9" s="133"/>
      <c r="O9" s="133"/>
      <c r="P9" s="133"/>
      <c r="Q9" s="133"/>
      <c r="R9" s="133"/>
      <c r="S9" s="133"/>
      <c r="T9" s="133"/>
      <c r="U9" s="133"/>
      <c r="V9" s="133"/>
      <c r="W9" s="133"/>
      <c r="X9" s="133"/>
      <c r="Y9" s="133"/>
      <c r="Z9" s="133"/>
      <c r="AA9" s="133"/>
      <c r="AB9" s="133"/>
      <c r="AC9" s="133"/>
      <c r="AD9" s="133"/>
    </row>
    <row r="10" spans="1:30" ht="97.5" customHeight="1" x14ac:dyDescent="0.25">
      <c r="A10" s="114" t="s">
        <v>180</v>
      </c>
      <c r="B10" s="114"/>
      <c r="C10" s="114"/>
      <c r="D10" s="114"/>
      <c r="E10" s="114"/>
      <c r="F10" s="114"/>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row>
    <row r="11" spans="1:30" ht="15" customHeight="1" x14ac:dyDescent="0.25">
      <c r="A11" s="12"/>
      <c r="B11" s="12"/>
      <c r="C11" s="12"/>
      <c r="D11" s="12"/>
      <c r="E11" s="12"/>
      <c r="F11" s="12"/>
      <c r="G11" s="12"/>
      <c r="H11" s="12"/>
      <c r="I11" s="12"/>
      <c r="J11" s="12"/>
      <c r="K11" s="12"/>
      <c r="L11" s="12"/>
    </row>
    <row r="12" spans="1:30" ht="15" customHeight="1" x14ac:dyDescent="0.25">
      <c r="A12" s="164" t="s">
        <v>184</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6"/>
    </row>
    <row r="13" spans="1:30" ht="15" customHeight="1" x14ac:dyDescent="0.25">
      <c r="A13" s="150" t="s">
        <v>181</v>
      </c>
      <c r="B13" s="151"/>
      <c r="C13" s="151"/>
      <c r="D13" s="151"/>
      <c r="E13" s="151"/>
      <c r="F13" s="152"/>
      <c r="G13" s="153"/>
      <c r="H13" s="153"/>
      <c r="I13" s="153"/>
      <c r="J13" s="153"/>
      <c r="K13" s="153"/>
      <c r="L13" s="153"/>
      <c r="M13" s="153"/>
      <c r="N13" s="153"/>
      <c r="O13" s="153"/>
      <c r="P13" s="153"/>
      <c r="Q13" s="153"/>
      <c r="R13" s="153"/>
      <c r="S13" s="153"/>
      <c r="T13" s="153"/>
      <c r="U13" s="153"/>
      <c r="V13" s="153"/>
      <c r="W13" s="153"/>
      <c r="X13" s="153"/>
      <c r="Y13" s="153"/>
      <c r="Z13" s="153"/>
      <c r="AA13" s="153"/>
      <c r="AB13" s="153"/>
      <c r="AC13" s="153"/>
      <c r="AD13" s="154"/>
    </row>
    <row r="14" spans="1:30" ht="15" customHeight="1" x14ac:dyDescent="0.25">
      <c r="A14" s="171" t="s">
        <v>186</v>
      </c>
      <c r="B14" s="167" t="s">
        <v>190</v>
      </c>
      <c r="C14" s="167"/>
      <c r="D14" s="167"/>
      <c r="E14" s="167"/>
      <c r="F14" s="168"/>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3"/>
    </row>
    <row r="15" spans="1:30" ht="15" customHeight="1" x14ac:dyDescent="0.25">
      <c r="A15" s="172"/>
      <c r="B15" s="174" t="s">
        <v>189</v>
      </c>
      <c r="C15" s="174"/>
      <c r="D15" s="174"/>
      <c r="E15" s="174"/>
      <c r="F15" s="175"/>
      <c r="G15" s="176"/>
      <c r="H15" s="176"/>
      <c r="I15" s="176"/>
      <c r="J15" s="176"/>
      <c r="K15" s="176"/>
      <c r="L15" s="176"/>
      <c r="M15" s="176"/>
      <c r="N15" s="176"/>
      <c r="O15" s="176"/>
      <c r="P15" s="176"/>
      <c r="Q15" s="176"/>
      <c r="R15" s="176"/>
      <c r="S15" s="176"/>
      <c r="T15" s="176"/>
      <c r="U15" s="176"/>
      <c r="V15" s="176"/>
      <c r="W15" s="176"/>
      <c r="X15" s="176"/>
      <c r="Y15" s="176"/>
      <c r="Z15" s="176"/>
      <c r="AA15" s="176"/>
      <c r="AB15" s="176"/>
      <c r="AC15" s="176"/>
      <c r="AD15" s="177"/>
    </row>
    <row r="16" spans="1:30" ht="30" customHeight="1" x14ac:dyDescent="0.25">
      <c r="A16" s="173"/>
      <c r="B16" s="169" t="s">
        <v>185</v>
      </c>
      <c r="C16" s="169"/>
      <c r="D16" s="169"/>
      <c r="E16" s="169"/>
      <c r="F16" s="170"/>
      <c r="G16" s="156"/>
      <c r="H16" s="156"/>
      <c r="I16" s="156"/>
      <c r="J16" s="156"/>
      <c r="K16" s="156"/>
      <c r="L16" s="156"/>
      <c r="M16" s="156"/>
      <c r="N16" s="156"/>
      <c r="O16" s="156"/>
      <c r="P16" s="156"/>
      <c r="Q16" s="156"/>
      <c r="R16" s="156"/>
      <c r="S16" s="156"/>
      <c r="T16" s="156"/>
      <c r="U16" s="156"/>
      <c r="V16" s="156"/>
      <c r="W16" s="156"/>
      <c r="X16" s="156"/>
      <c r="Y16" s="156"/>
      <c r="Z16" s="156"/>
      <c r="AA16" s="156"/>
      <c r="AB16" s="156"/>
      <c r="AC16" s="156"/>
      <c r="AD16" s="157"/>
    </row>
    <row r="17" spans="1:30" ht="15" customHeight="1" x14ac:dyDescent="0.25">
      <c r="A17" s="147" t="s">
        <v>199</v>
      </c>
      <c r="B17" s="120" t="s">
        <v>192</v>
      </c>
      <c r="C17" s="120"/>
      <c r="D17" s="120"/>
      <c r="E17" s="120"/>
      <c r="F17" s="121"/>
      <c r="G17" s="158"/>
      <c r="H17" s="158"/>
      <c r="I17" s="158"/>
      <c r="J17" s="158"/>
      <c r="K17" s="158"/>
      <c r="L17" s="158"/>
      <c r="M17" s="158"/>
      <c r="N17" s="158"/>
      <c r="O17" s="158"/>
      <c r="P17" s="158"/>
      <c r="Q17" s="158"/>
      <c r="R17" s="158"/>
      <c r="S17" s="158"/>
      <c r="T17" s="158"/>
      <c r="U17" s="158"/>
      <c r="V17" s="158"/>
      <c r="W17" s="158"/>
      <c r="X17" s="158"/>
      <c r="Y17" s="158"/>
      <c r="Z17" s="158"/>
      <c r="AA17" s="158"/>
      <c r="AB17" s="158"/>
      <c r="AC17" s="158"/>
      <c r="AD17" s="159"/>
    </row>
    <row r="18" spans="1:30" ht="15" customHeight="1" x14ac:dyDescent="0.25">
      <c r="A18" s="148"/>
      <c r="B18" s="120" t="s">
        <v>193</v>
      </c>
      <c r="C18" s="120"/>
      <c r="D18" s="120"/>
      <c r="E18" s="120"/>
      <c r="F18" s="121"/>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3"/>
    </row>
    <row r="19" spans="1:30" ht="15" customHeight="1" x14ac:dyDescent="0.25">
      <c r="A19" s="148"/>
      <c r="B19" s="120" t="s">
        <v>197</v>
      </c>
      <c r="C19" s="120"/>
      <c r="D19" s="120"/>
      <c r="E19" s="120"/>
      <c r="F19" s="121"/>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3"/>
    </row>
    <row r="20" spans="1:30" ht="30" customHeight="1" x14ac:dyDescent="0.25">
      <c r="A20" s="149"/>
      <c r="B20" s="120" t="s">
        <v>194</v>
      </c>
      <c r="C20" s="120"/>
      <c r="D20" s="120"/>
      <c r="E20" s="120"/>
      <c r="F20" s="121"/>
      <c r="G20" s="15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6"/>
    </row>
    <row r="21" spans="1:30" ht="15" customHeight="1" x14ac:dyDescent="0.25">
      <c r="A21" s="119" t="s">
        <v>200</v>
      </c>
      <c r="B21" s="120"/>
      <c r="C21" s="120"/>
      <c r="D21" s="120"/>
      <c r="E21" s="120"/>
      <c r="F21" s="121"/>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6"/>
    </row>
    <row r="22" spans="1:30" ht="132" customHeight="1" x14ac:dyDescent="0.25">
      <c r="A22" s="116" t="s">
        <v>182</v>
      </c>
      <c r="B22" s="117"/>
      <c r="C22" s="117"/>
      <c r="D22" s="117"/>
      <c r="E22" s="117"/>
      <c r="F22" s="118"/>
      <c r="G22" s="127" t="s">
        <v>201</v>
      </c>
      <c r="H22" s="128"/>
      <c r="I22" s="128"/>
      <c r="J22" s="128"/>
      <c r="K22" s="128"/>
      <c r="L22" s="128"/>
      <c r="M22" s="128"/>
      <c r="N22" s="128"/>
      <c r="O22" s="128"/>
      <c r="P22" s="128"/>
      <c r="Q22" s="128"/>
      <c r="R22" s="128"/>
      <c r="S22" s="128"/>
      <c r="T22" s="128"/>
      <c r="U22" s="128"/>
      <c r="V22" s="128"/>
      <c r="W22" s="128"/>
      <c r="X22" s="128"/>
      <c r="Y22" s="128"/>
      <c r="Z22" s="128"/>
      <c r="AA22" s="128"/>
      <c r="AB22" s="128"/>
      <c r="AC22" s="128"/>
      <c r="AD22" s="129"/>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4" t="s">
        <v>183</v>
      </c>
      <c r="B24" s="114"/>
      <c r="C24" s="114"/>
      <c r="D24" s="114"/>
      <c r="E24" s="114"/>
      <c r="F24" s="114"/>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4" t="s">
        <v>202</v>
      </c>
      <c r="B26" s="114"/>
      <c r="C26" s="114"/>
      <c r="D26" s="114"/>
      <c r="E26" s="114"/>
      <c r="F26" s="114"/>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
  <sheetViews>
    <sheetView showGridLines="0" workbookViewId="0">
      <selection sqref="A1:AD1"/>
    </sheetView>
  </sheetViews>
  <sheetFormatPr defaultColWidth="3" defaultRowHeight="15" x14ac:dyDescent="0.25"/>
  <sheetData>
    <row r="1" spans="1:30" ht="30" customHeight="1" x14ac:dyDescent="0.25">
      <c r="A1" s="163" t="str">
        <f xml:space="preserve"> "ACTIVITY " &amp; 'Activity Info'!G4 &amp; " — QUESTION 4"</f>
        <v>ACTIVITY CB-002 — QUESTION 4</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row>
    <row r="2" spans="1:30" ht="15" customHeight="1" x14ac:dyDescent="0.25">
      <c r="A2" s="134"/>
      <c r="B2" s="134"/>
      <c r="C2" s="134"/>
      <c r="D2" s="134"/>
      <c r="E2" s="134"/>
      <c r="F2" s="134"/>
      <c r="G2" s="134"/>
      <c r="H2" s="134"/>
      <c r="I2" s="134"/>
      <c r="J2" s="134"/>
      <c r="K2" s="134"/>
      <c r="L2" s="134"/>
    </row>
    <row r="3" spans="1:30" ht="15" customHeight="1" x14ac:dyDescent="0.25">
      <c r="A3" s="135" t="s">
        <v>156</v>
      </c>
      <c r="B3" s="136"/>
      <c r="C3" s="136"/>
      <c r="D3" s="136"/>
      <c r="E3" s="136"/>
      <c r="F3" s="137"/>
      <c r="G3" s="138"/>
      <c r="H3" s="138"/>
      <c r="I3" s="138"/>
      <c r="J3" s="138"/>
      <c r="K3" s="138"/>
      <c r="L3" s="138"/>
      <c r="M3" s="138"/>
      <c r="N3" s="138"/>
      <c r="O3" s="138"/>
      <c r="P3" s="138"/>
      <c r="Q3" s="138"/>
      <c r="R3" s="138"/>
      <c r="S3" s="138"/>
      <c r="T3" s="138"/>
      <c r="U3" s="138"/>
      <c r="V3" s="138"/>
      <c r="W3" s="138"/>
      <c r="X3" s="138"/>
      <c r="Y3" s="138"/>
      <c r="Z3" s="138"/>
      <c r="AA3" s="138"/>
      <c r="AB3" s="138"/>
      <c r="AC3" s="138"/>
      <c r="AD3" s="139"/>
    </row>
    <row r="4" spans="1:30" ht="52.5" customHeight="1" x14ac:dyDescent="0.25">
      <c r="A4" s="119" t="s">
        <v>179</v>
      </c>
      <c r="B4" s="120"/>
      <c r="C4" s="120"/>
      <c r="D4" s="120"/>
      <c r="E4" s="120"/>
      <c r="F4" s="121"/>
      <c r="G4" s="142"/>
      <c r="H4" s="142"/>
      <c r="I4" s="142"/>
      <c r="J4" s="142"/>
      <c r="K4" s="142"/>
      <c r="L4" s="142"/>
      <c r="M4" s="142"/>
      <c r="N4" s="142"/>
      <c r="O4" s="142"/>
      <c r="P4" s="142"/>
      <c r="Q4" s="142"/>
      <c r="R4" s="142"/>
      <c r="S4" s="142"/>
      <c r="T4" s="142"/>
      <c r="U4" s="142"/>
      <c r="V4" s="142"/>
      <c r="W4" s="142"/>
      <c r="X4" s="142"/>
      <c r="Y4" s="142"/>
      <c r="Z4" s="142"/>
      <c r="AA4" s="142"/>
      <c r="AB4" s="142"/>
      <c r="AC4" s="142"/>
      <c r="AD4" s="143"/>
    </row>
    <row r="5" spans="1:30" ht="15" customHeight="1" x14ac:dyDescent="0.25">
      <c r="A5" s="122" t="s">
        <v>2</v>
      </c>
      <c r="B5" s="123"/>
      <c r="C5" s="123"/>
      <c r="D5" s="123"/>
      <c r="E5" s="123"/>
      <c r="F5" s="124"/>
      <c r="G5" s="140"/>
      <c r="H5" s="140"/>
      <c r="I5" s="140"/>
      <c r="J5" s="140"/>
      <c r="K5" s="140"/>
      <c r="L5" s="140"/>
      <c r="M5" s="140"/>
      <c r="N5" s="140"/>
      <c r="O5" s="140"/>
      <c r="P5" s="140"/>
      <c r="Q5" s="140"/>
      <c r="R5" s="140"/>
      <c r="S5" s="140"/>
      <c r="T5" s="140"/>
      <c r="U5" s="140"/>
      <c r="V5" s="140"/>
      <c r="W5" s="140"/>
      <c r="X5" s="140"/>
      <c r="Y5" s="140"/>
      <c r="Z5" s="140"/>
      <c r="AA5" s="140"/>
      <c r="AB5" s="140"/>
      <c r="AC5" s="140"/>
      <c r="AD5" s="141"/>
    </row>
    <row r="6" spans="1:30" ht="15" customHeight="1" x14ac:dyDescent="0.25">
      <c r="A6" s="122" t="s">
        <v>4</v>
      </c>
      <c r="B6" s="123"/>
      <c r="C6" s="123"/>
      <c r="D6" s="123"/>
      <c r="E6" s="123"/>
      <c r="F6" s="124"/>
      <c r="G6" s="140"/>
      <c r="H6" s="140"/>
      <c r="I6" s="140"/>
      <c r="J6" s="140"/>
      <c r="K6" s="140"/>
      <c r="L6" s="140"/>
      <c r="M6" s="140"/>
      <c r="N6" s="140"/>
      <c r="O6" s="140"/>
      <c r="P6" s="140"/>
      <c r="Q6" s="140"/>
      <c r="R6" s="140"/>
      <c r="S6" s="140"/>
      <c r="T6" s="140"/>
      <c r="U6" s="140"/>
      <c r="V6" s="140"/>
      <c r="W6" s="140"/>
      <c r="X6" s="140"/>
      <c r="Y6" s="140"/>
      <c r="Z6" s="140"/>
      <c r="AA6" s="140"/>
      <c r="AB6" s="140"/>
      <c r="AC6" s="140"/>
      <c r="AD6" s="141"/>
    </row>
    <row r="7" spans="1:30" ht="15" customHeight="1" x14ac:dyDescent="0.25">
      <c r="A7" s="122" t="s">
        <v>6</v>
      </c>
      <c r="B7" s="123"/>
      <c r="C7" s="123"/>
      <c r="D7" s="123"/>
      <c r="E7" s="123"/>
      <c r="F7" s="124"/>
      <c r="G7" s="140"/>
      <c r="H7" s="140"/>
      <c r="I7" s="140"/>
      <c r="J7" s="140"/>
      <c r="K7" s="140"/>
      <c r="L7" s="140"/>
      <c r="M7" s="140"/>
      <c r="N7" s="140"/>
      <c r="O7" s="140"/>
      <c r="P7" s="140"/>
      <c r="Q7" s="140"/>
      <c r="R7" s="140"/>
      <c r="S7" s="140"/>
      <c r="T7" s="140"/>
      <c r="U7" s="140"/>
      <c r="V7" s="140"/>
      <c r="W7" s="140"/>
      <c r="X7" s="140"/>
      <c r="Y7" s="140"/>
      <c r="Z7" s="140"/>
      <c r="AA7" s="140"/>
      <c r="AB7" s="140"/>
      <c r="AC7" s="140"/>
      <c r="AD7" s="141"/>
    </row>
    <row r="8" spans="1:30" ht="15" customHeight="1" x14ac:dyDescent="0.25">
      <c r="A8" s="144" t="s">
        <v>168</v>
      </c>
      <c r="B8" s="145"/>
      <c r="C8" s="145"/>
      <c r="D8" s="145"/>
      <c r="E8" s="145"/>
      <c r="F8" s="146"/>
      <c r="G8" s="130"/>
      <c r="H8" s="130"/>
      <c r="I8" s="130"/>
      <c r="J8" s="130"/>
      <c r="K8" s="130"/>
      <c r="L8" s="130"/>
      <c r="M8" s="130"/>
      <c r="N8" s="130"/>
      <c r="O8" s="130"/>
      <c r="P8" s="130"/>
      <c r="Q8" s="130"/>
      <c r="R8" s="130"/>
      <c r="S8" s="130"/>
      <c r="T8" s="130"/>
      <c r="U8" s="130"/>
      <c r="V8" s="130"/>
      <c r="W8" s="130"/>
      <c r="X8" s="130"/>
      <c r="Y8" s="130"/>
      <c r="Z8" s="130"/>
      <c r="AA8" s="130"/>
      <c r="AB8" s="130"/>
      <c r="AC8" s="130"/>
      <c r="AD8" s="131"/>
    </row>
    <row r="9" spans="1:30" ht="15" customHeight="1" x14ac:dyDescent="0.25">
      <c r="A9" s="132"/>
      <c r="B9" s="132"/>
      <c r="C9" s="132"/>
      <c r="D9" s="132"/>
      <c r="E9" s="132"/>
      <c r="F9" s="132"/>
      <c r="G9" s="133"/>
      <c r="H9" s="133"/>
      <c r="I9" s="133"/>
      <c r="J9" s="133"/>
      <c r="K9" s="133"/>
      <c r="L9" s="133"/>
      <c r="M9" s="133"/>
      <c r="N9" s="133"/>
      <c r="O9" s="133"/>
      <c r="P9" s="133"/>
      <c r="Q9" s="133"/>
      <c r="R9" s="133"/>
      <c r="S9" s="133"/>
      <c r="T9" s="133"/>
      <c r="U9" s="133"/>
      <c r="V9" s="133"/>
      <c r="W9" s="133"/>
      <c r="X9" s="133"/>
      <c r="Y9" s="133"/>
      <c r="Z9" s="133"/>
      <c r="AA9" s="133"/>
      <c r="AB9" s="133"/>
      <c r="AC9" s="133"/>
      <c r="AD9" s="133"/>
    </row>
    <row r="10" spans="1:30" ht="97.5" customHeight="1" x14ac:dyDescent="0.25">
      <c r="A10" s="114" t="s">
        <v>180</v>
      </c>
      <c r="B10" s="114"/>
      <c r="C10" s="114"/>
      <c r="D10" s="114"/>
      <c r="E10" s="114"/>
      <c r="F10" s="114"/>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row>
    <row r="11" spans="1:30" ht="15" customHeight="1" x14ac:dyDescent="0.25">
      <c r="A11" s="12"/>
      <c r="B11" s="12"/>
      <c r="C11" s="12"/>
      <c r="D11" s="12"/>
      <c r="E11" s="12"/>
      <c r="F11" s="12"/>
      <c r="G11" s="12"/>
      <c r="H11" s="12"/>
      <c r="I11" s="12"/>
      <c r="J11" s="12"/>
      <c r="K11" s="12"/>
      <c r="L11" s="12"/>
    </row>
    <row r="12" spans="1:30" ht="15" customHeight="1" x14ac:dyDescent="0.25">
      <c r="A12" s="164" t="s">
        <v>184</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6"/>
    </row>
    <row r="13" spans="1:30" ht="15" customHeight="1" x14ac:dyDescent="0.25">
      <c r="A13" s="150" t="s">
        <v>181</v>
      </c>
      <c r="B13" s="151"/>
      <c r="C13" s="151"/>
      <c r="D13" s="151"/>
      <c r="E13" s="151"/>
      <c r="F13" s="152"/>
      <c r="G13" s="153"/>
      <c r="H13" s="153"/>
      <c r="I13" s="153"/>
      <c r="J13" s="153"/>
      <c r="K13" s="153"/>
      <c r="L13" s="153"/>
      <c r="M13" s="153"/>
      <c r="N13" s="153"/>
      <c r="O13" s="153"/>
      <c r="P13" s="153"/>
      <c r="Q13" s="153"/>
      <c r="R13" s="153"/>
      <c r="S13" s="153"/>
      <c r="T13" s="153"/>
      <c r="U13" s="153"/>
      <c r="V13" s="153"/>
      <c r="W13" s="153"/>
      <c r="X13" s="153"/>
      <c r="Y13" s="153"/>
      <c r="Z13" s="153"/>
      <c r="AA13" s="153"/>
      <c r="AB13" s="153"/>
      <c r="AC13" s="153"/>
      <c r="AD13" s="154"/>
    </row>
    <row r="14" spans="1:30" ht="15" customHeight="1" x14ac:dyDescent="0.25">
      <c r="A14" s="171" t="s">
        <v>186</v>
      </c>
      <c r="B14" s="167" t="s">
        <v>190</v>
      </c>
      <c r="C14" s="167"/>
      <c r="D14" s="167"/>
      <c r="E14" s="167"/>
      <c r="F14" s="168"/>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3"/>
    </row>
    <row r="15" spans="1:30" ht="15" customHeight="1" x14ac:dyDescent="0.25">
      <c r="A15" s="172"/>
      <c r="B15" s="174" t="s">
        <v>189</v>
      </c>
      <c r="C15" s="174"/>
      <c r="D15" s="174"/>
      <c r="E15" s="174"/>
      <c r="F15" s="175"/>
      <c r="G15" s="176"/>
      <c r="H15" s="176"/>
      <c r="I15" s="176"/>
      <c r="J15" s="176"/>
      <c r="K15" s="176"/>
      <c r="L15" s="176"/>
      <c r="M15" s="176"/>
      <c r="N15" s="176"/>
      <c r="O15" s="176"/>
      <c r="P15" s="176"/>
      <c r="Q15" s="176"/>
      <c r="R15" s="176"/>
      <c r="S15" s="176"/>
      <c r="T15" s="176"/>
      <c r="U15" s="176"/>
      <c r="V15" s="176"/>
      <c r="W15" s="176"/>
      <c r="X15" s="176"/>
      <c r="Y15" s="176"/>
      <c r="Z15" s="176"/>
      <c r="AA15" s="176"/>
      <c r="AB15" s="176"/>
      <c r="AC15" s="176"/>
      <c r="AD15" s="177"/>
    </row>
    <row r="16" spans="1:30" ht="30" customHeight="1" x14ac:dyDescent="0.25">
      <c r="A16" s="173"/>
      <c r="B16" s="169" t="s">
        <v>185</v>
      </c>
      <c r="C16" s="169"/>
      <c r="D16" s="169"/>
      <c r="E16" s="169"/>
      <c r="F16" s="170"/>
      <c r="G16" s="156"/>
      <c r="H16" s="156"/>
      <c r="I16" s="156"/>
      <c r="J16" s="156"/>
      <c r="K16" s="156"/>
      <c r="L16" s="156"/>
      <c r="M16" s="156"/>
      <c r="N16" s="156"/>
      <c r="O16" s="156"/>
      <c r="P16" s="156"/>
      <c r="Q16" s="156"/>
      <c r="R16" s="156"/>
      <c r="S16" s="156"/>
      <c r="T16" s="156"/>
      <c r="U16" s="156"/>
      <c r="V16" s="156"/>
      <c r="W16" s="156"/>
      <c r="X16" s="156"/>
      <c r="Y16" s="156"/>
      <c r="Z16" s="156"/>
      <c r="AA16" s="156"/>
      <c r="AB16" s="156"/>
      <c r="AC16" s="156"/>
      <c r="AD16" s="157"/>
    </row>
    <row r="17" spans="1:30" ht="15" customHeight="1" x14ac:dyDescent="0.25">
      <c r="A17" s="147" t="s">
        <v>199</v>
      </c>
      <c r="B17" s="120" t="s">
        <v>192</v>
      </c>
      <c r="C17" s="120"/>
      <c r="D17" s="120"/>
      <c r="E17" s="120"/>
      <c r="F17" s="121"/>
      <c r="G17" s="158"/>
      <c r="H17" s="158"/>
      <c r="I17" s="158"/>
      <c r="J17" s="158"/>
      <c r="K17" s="158"/>
      <c r="L17" s="158"/>
      <c r="M17" s="158"/>
      <c r="N17" s="158"/>
      <c r="O17" s="158"/>
      <c r="P17" s="158"/>
      <c r="Q17" s="158"/>
      <c r="R17" s="158"/>
      <c r="S17" s="158"/>
      <c r="T17" s="158"/>
      <c r="U17" s="158"/>
      <c r="V17" s="158"/>
      <c r="W17" s="158"/>
      <c r="X17" s="158"/>
      <c r="Y17" s="158"/>
      <c r="Z17" s="158"/>
      <c r="AA17" s="158"/>
      <c r="AB17" s="158"/>
      <c r="AC17" s="158"/>
      <c r="AD17" s="159"/>
    </row>
    <row r="18" spans="1:30" ht="15" customHeight="1" x14ac:dyDescent="0.25">
      <c r="A18" s="148"/>
      <c r="B18" s="120" t="s">
        <v>193</v>
      </c>
      <c r="C18" s="120"/>
      <c r="D18" s="120"/>
      <c r="E18" s="120"/>
      <c r="F18" s="121"/>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3"/>
    </row>
    <row r="19" spans="1:30" ht="15" customHeight="1" x14ac:dyDescent="0.25">
      <c r="A19" s="148"/>
      <c r="B19" s="120" t="s">
        <v>197</v>
      </c>
      <c r="C19" s="120"/>
      <c r="D19" s="120"/>
      <c r="E19" s="120"/>
      <c r="F19" s="121"/>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3"/>
    </row>
    <row r="20" spans="1:30" ht="30" customHeight="1" x14ac:dyDescent="0.25">
      <c r="A20" s="149"/>
      <c r="B20" s="120" t="s">
        <v>194</v>
      </c>
      <c r="C20" s="120"/>
      <c r="D20" s="120"/>
      <c r="E20" s="120"/>
      <c r="F20" s="121"/>
      <c r="G20" s="15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6"/>
    </row>
    <row r="21" spans="1:30" ht="15" customHeight="1" x14ac:dyDescent="0.25">
      <c r="A21" s="119" t="s">
        <v>200</v>
      </c>
      <c r="B21" s="120"/>
      <c r="C21" s="120"/>
      <c r="D21" s="120"/>
      <c r="E21" s="120"/>
      <c r="F21" s="121"/>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6"/>
    </row>
    <row r="22" spans="1:30" ht="132" customHeight="1" x14ac:dyDescent="0.25">
      <c r="A22" s="116" t="s">
        <v>182</v>
      </c>
      <c r="B22" s="117"/>
      <c r="C22" s="117"/>
      <c r="D22" s="117"/>
      <c r="E22" s="117"/>
      <c r="F22" s="118"/>
      <c r="G22" s="127" t="s">
        <v>201</v>
      </c>
      <c r="H22" s="128"/>
      <c r="I22" s="128"/>
      <c r="J22" s="128"/>
      <c r="K22" s="128"/>
      <c r="L22" s="128"/>
      <c r="M22" s="128"/>
      <c r="N22" s="128"/>
      <c r="O22" s="128"/>
      <c r="P22" s="128"/>
      <c r="Q22" s="128"/>
      <c r="R22" s="128"/>
      <c r="S22" s="128"/>
      <c r="T22" s="128"/>
      <c r="U22" s="128"/>
      <c r="V22" s="128"/>
      <c r="W22" s="128"/>
      <c r="X22" s="128"/>
      <c r="Y22" s="128"/>
      <c r="Z22" s="128"/>
      <c r="AA22" s="128"/>
      <c r="AB22" s="128"/>
      <c r="AC22" s="128"/>
      <c r="AD22" s="129"/>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4" t="s">
        <v>183</v>
      </c>
      <c r="B24" s="114"/>
      <c r="C24" s="114"/>
      <c r="D24" s="114"/>
      <c r="E24" s="114"/>
      <c r="F24" s="114"/>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4" t="s">
        <v>202</v>
      </c>
      <c r="B26" s="114"/>
      <c r="C26" s="114"/>
      <c r="D26" s="114"/>
      <c r="E26" s="114"/>
      <c r="F26" s="114"/>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3"/>
  <sheetViews>
    <sheetView showGridLines="0" workbookViewId="0">
      <selection sqref="A1:AD1"/>
    </sheetView>
  </sheetViews>
  <sheetFormatPr defaultColWidth="3" defaultRowHeight="15" x14ac:dyDescent="0.25"/>
  <sheetData>
    <row r="1" spans="1:30" ht="30" customHeight="1" x14ac:dyDescent="0.25">
      <c r="A1" s="163" t="str">
        <f xml:space="preserve"> "ACTIVITY " &amp; 'Activity Info'!G4 &amp; " — QUESTION 5"</f>
        <v>ACTIVITY CB-002 — QUESTION 5</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row>
    <row r="2" spans="1:30" ht="15" customHeight="1" x14ac:dyDescent="0.25">
      <c r="A2" s="134"/>
      <c r="B2" s="134"/>
      <c r="C2" s="134"/>
      <c r="D2" s="134"/>
      <c r="E2" s="134"/>
      <c r="F2" s="134"/>
      <c r="G2" s="134"/>
      <c r="H2" s="134"/>
      <c r="I2" s="134"/>
      <c r="J2" s="134"/>
      <c r="K2" s="134"/>
      <c r="L2" s="134"/>
    </row>
    <row r="3" spans="1:30" ht="15" customHeight="1" x14ac:dyDescent="0.25">
      <c r="A3" s="135" t="s">
        <v>156</v>
      </c>
      <c r="B3" s="136"/>
      <c r="C3" s="136"/>
      <c r="D3" s="136"/>
      <c r="E3" s="136"/>
      <c r="F3" s="137"/>
      <c r="G3" s="138"/>
      <c r="H3" s="138"/>
      <c r="I3" s="138"/>
      <c r="J3" s="138"/>
      <c r="K3" s="138"/>
      <c r="L3" s="138"/>
      <c r="M3" s="138"/>
      <c r="N3" s="138"/>
      <c r="O3" s="138"/>
      <c r="P3" s="138"/>
      <c r="Q3" s="138"/>
      <c r="R3" s="138"/>
      <c r="S3" s="138"/>
      <c r="T3" s="138"/>
      <c r="U3" s="138"/>
      <c r="V3" s="138"/>
      <c r="W3" s="138"/>
      <c r="X3" s="138"/>
      <c r="Y3" s="138"/>
      <c r="Z3" s="138"/>
      <c r="AA3" s="138"/>
      <c r="AB3" s="138"/>
      <c r="AC3" s="138"/>
      <c r="AD3" s="139"/>
    </row>
    <row r="4" spans="1:30" ht="52.5" customHeight="1" x14ac:dyDescent="0.25">
      <c r="A4" s="119" t="s">
        <v>179</v>
      </c>
      <c r="B4" s="120"/>
      <c r="C4" s="120"/>
      <c r="D4" s="120"/>
      <c r="E4" s="120"/>
      <c r="F4" s="121"/>
      <c r="G4" s="142"/>
      <c r="H4" s="142"/>
      <c r="I4" s="142"/>
      <c r="J4" s="142"/>
      <c r="K4" s="142"/>
      <c r="L4" s="142"/>
      <c r="M4" s="142"/>
      <c r="N4" s="142"/>
      <c r="O4" s="142"/>
      <c r="P4" s="142"/>
      <c r="Q4" s="142"/>
      <c r="R4" s="142"/>
      <c r="S4" s="142"/>
      <c r="T4" s="142"/>
      <c r="U4" s="142"/>
      <c r="V4" s="142"/>
      <c r="W4" s="142"/>
      <c r="X4" s="142"/>
      <c r="Y4" s="142"/>
      <c r="Z4" s="142"/>
      <c r="AA4" s="142"/>
      <c r="AB4" s="142"/>
      <c r="AC4" s="142"/>
      <c r="AD4" s="143"/>
    </row>
    <row r="5" spans="1:30" ht="15" customHeight="1" x14ac:dyDescent="0.25">
      <c r="A5" s="122" t="s">
        <v>2</v>
      </c>
      <c r="B5" s="123"/>
      <c r="C5" s="123"/>
      <c r="D5" s="123"/>
      <c r="E5" s="123"/>
      <c r="F5" s="124"/>
      <c r="G5" s="140"/>
      <c r="H5" s="140"/>
      <c r="I5" s="140"/>
      <c r="J5" s="140"/>
      <c r="K5" s="140"/>
      <c r="L5" s="140"/>
      <c r="M5" s="140"/>
      <c r="N5" s="140"/>
      <c r="O5" s="140"/>
      <c r="P5" s="140"/>
      <c r="Q5" s="140"/>
      <c r="R5" s="140"/>
      <c r="S5" s="140"/>
      <c r="T5" s="140"/>
      <c r="U5" s="140"/>
      <c r="V5" s="140"/>
      <c r="W5" s="140"/>
      <c r="X5" s="140"/>
      <c r="Y5" s="140"/>
      <c r="Z5" s="140"/>
      <c r="AA5" s="140"/>
      <c r="AB5" s="140"/>
      <c r="AC5" s="140"/>
      <c r="AD5" s="141"/>
    </row>
    <row r="6" spans="1:30" ht="15" customHeight="1" x14ac:dyDescent="0.25">
      <c r="A6" s="122" t="s">
        <v>4</v>
      </c>
      <c r="B6" s="123"/>
      <c r="C6" s="123"/>
      <c r="D6" s="123"/>
      <c r="E6" s="123"/>
      <c r="F6" s="124"/>
      <c r="G6" s="140"/>
      <c r="H6" s="140"/>
      <c r="I6" s="140"/>
      <c r="J6" s="140"/>
      <c r="K6" s="140"/>
      <c r="L6" s="140"/>
      <c r="M6" s="140"/>
      <c r="N6" s="140"/>
      <c r="O6" s="140"/>
      <c r="P6" s="140"/>
      <c r="Q6" s="140"/>
      <c r="R6" s="140"/>
      <c r="S6" s="140"/>
      <c r="T6" s="140"/>
      <c r="U6" s="140"/>
      <c r="V6" s="140"/>
      <c r="W6" s="140"/>
      <c r="X6" s="140"/>
      <c r="Y6" s="140"/>
      <c r="Z6" s="140"/>
      <c r="AA6" s="140"/>
      <c r="AB6" s="140"/>
      <c r="AC6" s="140"/>
      <c r="AD6" s="141"/>
    </row>
    <row r="7" spans="1:30" ht="15" customHeight="1" x14ac:dyDescent="0.25">
      <c r="A7" s="122" t="s">
        <v>6</v>
      </c>
      <c r="B7" s="123"/>
      <c r="C7" s="123"/>
      <c r="D7" s="123"/>
      <c r="E7" s="123"/>
      <c r="F7" s="124"/>
      <c r="G7" s="140"/>
      <c r="H7" s="140"/>
      <c r="I7" s="140"/>
      <c r="J7" s="140"/>
      <c r="K7" s="140"/>
      <c r="L7" s="140"/>
      <c r="M7" s="140"/>
      <c r="N7" s="140"/>
      <c r="O7" s="140"/>
      <c r="P7" s="140"/>
      <c r="Q7" s="140"/>
      <c r="R7" s="140"/>
      <c r="S7" s="140"/>
      <c r="T7" s="140"/>
      <c r="U7" s="140"/>
      <c r="V7" s="140"/>
      <c r="W7" s="140"/>
      <c r="X7" s="140"/>
      <c r="Y7" s="140"/>
      <c r="Z7" s="140"/>
      <c r="AA7" s="140"/>
      <c r="AB7" s="140"/>
      <c r="AC7" s="140"/>
      <c r="AD7" s="141"/>
    </row>
    <row r="8" spans="1:30" ht="15" customHeight="1" x14ac:dyDescent="0.25">
      <c r="A8" s="144" t="s">
        <v>168</v>
      </c>
      <c r="B8" s="145"/>
      <c r="C8" s="145"/>
      <c r="D8" s="145"/>
      <c r="E8" s="145"/>
      <c r="F8" s="146"/>
      <c r="G8" s="130"/>
      <c r="H8" s="130"/>
      <c r="I8" s="130"/>
      <c r="J8" s="130"/>
      <c r="K8" s="130"/>
      <c r="L8" s="130"/>
      <c r="M8" s="130"/>
      <c r="N8" s="130"/>
      <c r="O8" s="130"/>
      <c r="P8" s="130"/>
      <c r="Q8" s="130"/>
      <c r="R8" s="130"/>
      <c r="S8" s="130"/>
      <c r="T8" s="130"/>
      <c r="U8" s="130"/>
      <c r="V8" s="130"/>
      <c r="W8" s="130"/>
      <c r="X8" s="130"/>
      <c r="Y8" s="130"/>
      <c r="Z8" s="130"/>
      <c r="AA8" s="130"/>
      <c r="AB8" s="130"/>
      <c r="AC8" s="130"/>
      <c r="AD8" s="131"/>
    </row>
    <row r="9" spans="1:30" ht="15" customHeight="1" x14ac:dyDescent="0.25">
      <c r="A9" s="132"/>
      <c r="B9" s="132"/>
      <c r="C9" s="132"/>
      <c r="D9" s="132"/>
      <c r="E9" s="132"/>
      <c r="F9" s="132"/>
      <c r="G9" s="133"/>
      <c r="H9" s="133"/>
      <c r="I9" s="133"/>
      <c r="J9" s="133"/>
      <c r="K9" s="133"/>
      <c r="L9" s="133"/>
      <c r="M9" s="133"/>
      <c r="N9" s="133"/>
      <c r="O9" s="133"/>
      <c r="P9" s="133"/>
      <c r="Q9" s="133"/>
      <c r="R9" s="133"/>
      <c r="S9" s="133"/>
      <c r="T9" s="133"/>
      <c r="U9" s="133"/>
      <c r="V9" s="133"/>
      <c r="W9" s="133"/>
      <c r="X9" s="133"/>
      <c r="Y9" s="133"/>
      <c r="Z9" s="133"/>
      <c r="AA9" s="133"/>
      <c r="AB9" s="133"/>
      <c r="AC9" s="133"/>
      <c r="AD9" s="133"/>
    </row>
    <row r="10" spans="1:30" ht="97.5" customHeight="1" x14ac:dyDescent="0.25">
      <c r="A10" s="114" t="s">
        <v>180</v>
      </c>
      <c r="B10" s="114"/>
      <c r="C10" s="114"/>
      <c r="D10" s="114"/>
      <c r="E10" s="114"/>
      <c r="F10" s="114"/>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row>
    <row r="11" spans="1:30" ht="15" customHeight="1" x14ac:dyDescent="0.25">
      <c r="A11" s="12"/>
      <c r="B11" s="12"/>
      <c r="C11" s="12"/>
      <c r="D11" s="12"/>
      <c r="E11" s="12"/>
      <c r="F11" s="12"/>
      <c r="G11" s="12"/>
      <c r="H11" s="12"/>
      <c r="I11" s="12"/>
      <c r="J11" s="12"/>
      <c r="K11" s="12"/>
      <c r="L11" s="12"/>
    </row>
    <row r="12" spans="1:30" ht="15" customHeight="1" x14ac:dyDescent="0.25">
      <c r="A12" s="164" t="s">
        <v>184</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6"/>
    </row>
    <row r="13" spans="1:30" ht="15" customHeight="1" x14ac:dyDescent="0.25">
      <c r="A13" s="150" t="s">
        <v>181</v>
      </c>
      <c r="B13" s="151"/>
      <c r="C13" s="151"/>
      <c r="D13" s="151"/>
      <c r="E13" s="151"/>
      <c r="F13" s="152"/>
      <c r="G13" s="153"/>
      <c r="H13" s="153"/>
      <c r="I13" s="153"/>
      <c r="J13" s="153"/>
      <c r="K13" s="153"/>
      <c r="L13" s="153"/>
      <c r="M13" s="153"/>
      <c r="N13" s="153"/>
      <c r="O13" s="153"/>
      <c r="P13" s="153"/>
      <c r="Q13" s="153"/>
      <c r="R13" s="153"/>
      <c r="S13" s="153"/>
      <c r="T13" s="153"/>
      <c r="U13" s="153"/>
      <c r="V13" s="153"/>
      <c r="W13" s="153"/>
      <c r="X13" s="153"/>
      <c r="Y13" s="153"/>
      <c r="Z13" s="153"/>
      <c r="AA13" s="153"/>
      <c r="AB13" s="153"/>
      <c r="AC13" s="153"/>
      <c r="AD13" s="154"/>
    </row>
    <row r="14" spans="1:30" ht="15" customHeight="1" x14ac:dyDescent="0.25">
      <c r="A14" s="171" t="s">
        <v>186</v>
      </c>
      <c r="B14" s="167" t="s">
        <v>190</v>
      </c>
      <c r="C14" s="167"/>
      <c r="D14" s="167"/>
      <c r="E14" s="167"/>
      <c r="F14" s="168"/>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3"/>
    </row>
    <row r="15" spans="1:30" ht="15" customHeight="1" x14ac:dyDescent="0.25">
      <c r="A15" s="172"/>
      <c r="B15" s="174" t="s">
        <v>189</v>
      </c>
      <c r="C15" s="174"/>
      <c r="D15" s="174"/>
      <c r="E15" s="174"/>
      <c r="F15" s="175"/>
      <c r="G15" s="176"/>
      <c r="H15" s="176"/>
      <c r="I15" s="176"/>
      <c r="J15" s="176"/>
      <c r="K15" s="176"/>
      <c r="L15" s="176"/>
      <c r="M15" s="176"/>
      <c r="N15" s="176"/>
      <c r="O15" s="176"/>
      <c r="P15" s="176"/>
      <c r="Q15" s="176"/>
      <c r="R15" s="176"/>
      <c r="S15" s="176"/>
      <c r="T15" s="176"/>
      <c r="U15" s="176"/>
      <c r="V15" s="176"/>
      <c r="W15" s="176"/>
      <c r="X15" s="176"/>
      <c r="Y15" s="176"/>
      <c r="Z15" s="176"/>
      <c r="AA15" s="176"/>
      <c r="AB15" s="176"/>
      <c r="AC15" s="176"/>
      <c r="AD15" s="177"/>
    </row>
    <row r="16" spans="1:30" ht="30" customHeight="1" x14ac:dyDescent="0.25">
      <c r="A16" s="173"/>
      <c r="B16" s="169" t="s">
        <v>185</v>
      </c>
      <c r="C16" s="169"/>
      <c r="D16" s="169"/>
      <c r="E16" s="169"/>
      <c r="F16" s="170"/>
      <c r="G16" s="156"/>
      <c r="H16" s="156"/>
      <c r="I16" s="156"/>
      <c r="J16" s="156"/>
      <c r="K16" s="156"/>
      <c r="L16" s="156"/>
      <c r="M16" s="156"/>
      <c r="N16" s="156"/>
      <c r="O16" s="156"/>
      <c r="P16" s="156"/>
      <c r="Q16" s="156"/>
      <c r="R16" s="156"/>
      <c r="S16" s="156"/>
      <c r="T16" s="156"/>
      <c r="U16" s="156"/>
      <c r="V16" s="156"/>
      <c r="W16" s="156"/>
      <c r="X16" s="156"/>
      <c r="Y16" s="156"/>
      <c r="Z16" s="156"/>
      <c r="AA16" s="156"/>
      <c r="AB16" s="156"/>
      <c r="AC16" s="156"/>
      <c r="AD16" s="157"/>
    </row>
    <row r="17" spans="1:30" ht="15" customHeight="1" x14ac:dyDescent="0.25">
      <c r="A17" s="147" t="s">
        <v>199</v>
      </c>
      <c r="B17" s="120" t="s">
        <v>192</v>
      </c>
      <c r="C17" s="120"/>
      <c r="D17" s="120"/>
      <c r="E17" s="120"/>
      <c r="F17" s="121"/>
      <c r="G17" s="158"/>
      <c r="H17" s="158"/>
      <c r="I17" s="158"/>
      <c r="J17" s="158"/>
      <c r="K17" s="158"/>
      <c r="L17" s="158"/>
      <c r="M17" s="158"/>
      <c r="N17" s="158"/>
      <c r="O17" s="158"/>
      <c r="P17" s="158"/>
      <c r="Q17" s="158"/>
      <c r="R17" s="158"/>
      <c r="S17" s="158"/>
      <c r="T17" s="158"/>
      <c r="U17" s="158"/>
      <c r="V17" s="158"/>
      <c r="W17" s="158"/>
      <c r="X17" s="158"/>
      <c r="Y17" s="158"/>
      <c r="Z17" s="158"/>
      <c r="AA17" s="158"/>
      <c r="AB17" s="158"/>
      <c r="AC17" s="158"/>
      <c r="AD17" s="159"/>
    </row>
    <row r="18" spans="1:30" ht="15" customHeight="1" x14ac:dyDescent="0.25">
      <c r="A18" s="148"/>
      <c r="B18" s="120" t="s">
        <v>193</v>
      </c>
      <c r="C18" s="120"/>
      <c r="D18" s="120"/>
      <c r="E18" s="120"/>
      <c r="F18" s="121"/>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3"/>
    </row>
    <row r="19" spans="1:30" ht="15" customHeight="1" x14ac:dyDescent="0.25">
      <c r="A19" s="148"/>
      <c r="B19" s="120" t="s">
        <v>197</v>
      </c>
      <c r="C19" s="120"/>
      <c r="D19" s="120"/>
      <c r="E19" s="120"/>
      <c r="F19" s="121"/>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3"/>
    </row>
    <row r="20" spans="1:30" ht="30" customHeight="1" x14ac:dyDescent="0.25">
      <c r="A20" s="149"/>
      <c r="B20" s="120" t="s">
        <v>194</v>
      </c>
      <c r="C20" s="120"/>
      <c r="D20" s="120"/>
      <c r="E20" s="120"/>
      <c r="F20" s="121"/>
      <c r="G20" s="15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6"/>
    </row>
    <row r="21" spans="1:30" ht="15" customHeight="1" x14ac:dyDescent="0.25">
      <c r="A21" s="179" t="s">
        <v>200</v>
      </c>
      <c r="B21" s="120"/>
      <c r="C21" s="120"/>
      <c r="D21" s="120"/>
      <c r="E21" s="120"/>
      <c r="F21" s="121"/>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6"/>
    </row>
    <row r="22" spans="1:30" ht="132" customHeight="1" x14ac:dyDescent="0.25">
      <c r="A22" s="116" t="s">
        <v>182</v>
      </c>
      <c r="B22" s="117"/>
      <c r="C22" s="117"/>
      <c r="D22" s="117"/>
      <c r="E22" s="117"/>
      <c r="F22" s="118"/>
      <c r="G22" s="127" t="s">
        <v>201</v>
      </c>
      <c r="H22" s="128"/>
      <c r="I22" s="128"/>
      <c r="J22" s="128"/>
      <c r="K22" s="128"/>
      <c r="L22" s="128"/>
      <c r="M22" s="128"/>
      <c r="N22" s="128"/>
      <c r="O22" s="128"/>
      <c r="P22" s="128"/>
      <c r="Q22" s="128"/>
      <c r="R22" s="128"/>
      <c r="S22" s="128"/>
      <c r="T22" s="128"/>
      <c r="U22" s="128"/>
      <c r="V22" s="128"/>
      <c r="W22" s="128"/>
      <c r="X22" s="128"/>
      <c r="Y22" s="128"/>
      <c r="Z22" s="128"/>
      <c r="AA22" s="128"/>
      <c r="AB22" s="128"/>
      <c r="AC22" s="128"/>
      <c r="AD22" s="129"/>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4" t="s">
        <v>183</v>
      </c>
      <c r="B24" s="114"/>
      <c r="C24" s="114"/>
      <c r="D24" s="114"/>
      <c r="E24" s="114"/>
      <c r="F24" s="114"/>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4" t="s">
        <v>202</v>
      </c>
      <c r="B26" s="114"/>
      <c r="C26" s="114"/>
      <c r="D26" s="114"/>
      <c r="E26" s="114"/>
      <c r="F26" s="114"/>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Lists</vt:lpstr>
      <vt:lpstr>Activity Info</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Selami DEMİR</cp:lastModifiedBy>
  <cp:lastPrinted>2026-08-12T15:49:06Z</cp:lastPrinted>
  <dcterms:modified xsi:type="dcterms:W3CDTF">2026-09-07T12:23:17Z</dcterms:modified>
</cp:coreProperties>
</file>